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B43C8F6C-B197-4593-A269-F7BB3BB40A0E}" xr6:coauthVersionLast="31" xr6:coauthVersionMax="31" xr10:uidLastSave="{00000000-0000-0000-0000-000000000000}"/>
  <bookViews>
    <workbookView xWindow="0" yWindow="0" windowWidth="25200" windowHeight="11850" firstSheet="1" activeTab="1" xr2:uid="{00000000-000D-0000-FFFF-FFFF00000000}"/>
  </bookViews>
  <sheets>
    <sheet name="Documentation" sheetId="6" state="hidden" r:id="rId1"/>
    <sheet name="Goblin" sheetId="7"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<sst xmlns="http://schemas.openxmlformats.org/spreadsheetml/2006/main" count="238" uniqueCount="130">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</sst>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36</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workbookViewId="0">
      <selection activeCell="B19" sqref="B19"/>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tabSelected="1" workbookViewId="0">
      <selection activeCell="N16" sqref="N16"/>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22" sqref="K22:O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4"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5"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2</v>
      </c>
      <c r="D27" s="90">
        <f>'Battle System'!N7</f>
        <v>36</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System'!N9=0,"",'Battle System'!N9)</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2</v>
      </c>
      <c r="C7" s="47"/>
      <c r="D7" s="66">
        <f>'Battle System'!F4+EXP</f>
        <v>110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topLeftCell="B1" workbookViewId="0">
      <selection activeCell="N13" sqref="N13"/>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36</v>
      </c>
      <c r="K3" s="36">
        <f>IFERROR(IF(O14&lt;=Damage_to_Monster,0,IF(O14&gt;0,O14-J9,O14)),0)</f>
        <v>0</v>
      </c>
      <c r="L3" s="77"/>
      <c r="M3" s="77"/>
      <c r="N3" s="77"/>
      <c r="O3" s="77"/>
      <c r="P3" s="77"/>
    </row>
    <row r="4" spans="1:16" x14ac:dyDescent="0.25">
      <c r="A4" s="27">
        <v>0</v>
      </c>
      <c r="B4" s="27">
        <v>0</v>
      </c>
      <c r="C4" s="27">
        <v>0</v>
      </c>
      <c r="D4" s="76"/>
      <c r="E4" s="28">
        <f>SUM(XP)</f>
        <v>110</v>
      </c>
      <c r="F4" s="28">
        <v>0</v>
      </c>
      <c r="G4" s="77"/>
      <c r="H4" s="77"/>
      <c r="I4" s="72" t="s">
        <v>62</v>
      </c>
      <c r="J4" s="24">
        <f>J6</f>
        <v>0</v>
      </c>
      <c r="K4" s="24">
        <f>J9</f>
        <v>0</v>
      </c>
      <c r="L4" s="77"/>
      <c r="M4" s="77"/>
      <c r="N4" s="77"/>
      <c r="O4" s="77"/>
      <c r="P4" s="77"/>
    </row>
    <row r="5" spans="1:16" x14ac:dyDescent="0.25">
      <c r="A5" s="4"/>
      <c r="B5" s="4"/>
      <c r="C5" s="4">
        <v>10</v>
      </c>
      <c r="D5" s="76"/>
      <c r="E5" s="76"/>
      <c r="F5" s="77"/>
      <c r="G5" s="77"/>
      <c r="H5" s="77"/>
      <c r="I5" s="77"/>
      <c r="J5" s="77"/>
      <c r="K5" s="77"/>
      <c r="L5" s="77"/>
      <c r="M5" s="77"/>
      <c r="N5" s="77"/>
      <c r="O5" s="77"/>
      <c r="P5" s="77"/>
    </row>
    <row r="6" spans="1:16" ht="15.75" thickBot="1" x14ac:dyDescent="0.3">
      <c r="A6" s="27"/>
      <c r="B6" s="27"/>
      <c r="C6" s="27">
        <v>10</v>
      </c>
      <c r="D6" s="76"/>
      <c r="E6" s="77"/>
      <c r="F6" s="77"/>
      <c r="G6" s="77"/>
      <c r="H6" s="77"/>
      <c r="I6" s="48" t="s">
        <v>63</v>
      </c>
      <c r="J6" s="49">
        <f>SUM(Dmg)</f>
        <v>0</v>
      </c>
      <c r="K6" s="77"/>
      <c r="L6" s="39" t="s">
        <v>23</v>
      </c>
      <c r="M6" s="42" t="s">
        <v>3</v>
      </c>
      <c r="N6" s="29" t="s">
        <v>15</v>
      </c>
      <c r="O6" s="29" t="s">
        <v>8</v>
      </c>
      <c r="P6" s="77"/>
    </row>
    <row r="7" spans="1:16" x14ac:dyDescent="0.25">
      <c r="A7" s="4"/>
      <c r="B7" s="4"/>
      <c r="C7" s="4">
        <v>10</v>
      </c>
      <c r="D7" s="77"/>
      <c r="E7" s="98" t="s">
        <v>3</v>
      </c>
      <c r="F7" s="98"/>
      <c r="G7" s="98"/>
      <c r="H7" s="77"/>
      <c r="I7" s="48" t="s">
        <v>64</v>
      </c>
      <c r="J7" s="49" t="e">
        <f>O13</f>
        <v>#N/A</v>
      </c>
      <c r="K7" s="77"/>
      <c r="L7" s="37">
        <v>34</v>
      </c>
      <c r="M7" s="43">
        <f>level</f>
        <v>2</v>
      </c>
      <c r="N7" s="44">
        <f>(Basehealth+VLOOKUP(M7,LVL,2,FALSE))</f>
        <v>36</v>
      </c>
      <c r="O7" s="44">
        <f>IF(N9="Dragon's Bane","X",VLOOKUP(M7,LevelTable[],3,FALSE))</f>
        <v>6</v>
      </c>
      <c r="P7" s="77"/>
    </row>
    <row r="8" spans="1:16" ht="22.5" customHeight="1" x14ac:dyDescent="0.25">
      <c r="A8" s="27"/>
      <c r="B8" s="27"/>
      <c r="C8" s="27">
        <v>10</v>
      </c>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v>10</v>
      </c>
      <c r="D9" s="77"/>
      <c r="E9" s="2">
        <v>1</v>
      </c>
      <c r="F9" s="2">
        <v>0</v>
      </c>
      <c r="G9" s="2">
        <v>6</v>
      </c>
      <c r="H9" s="77"/>
      <c r="I9" s="48" t="s">
        <v>66</v>
      </c>
      <c r="J9" s="49">
        <f>SUM(mdmg)</f>
        <v>0</v>
      </c>
      <c r="K9" s="77"/>
      <c r="L9" s="77"/>
      <c r="M9" s="81" t="s">
        <v>97</v>
      </c>
      <c r="N9" s="82"/>
      <c r="O9" s="77"/>
      <c r="P9" s="77"/>
    </row>
    <row r="10" spans="1:16" x14ac:dyDescent="0.25">
      <c r="A10" s="27"/>
      <c r="B10" s="27"/>
      <c r="C10" s="27">
        <v>10</v>
      </c>
      <c r="D10" s="77"/>
      <c r="E10" s="2">
        <v>2</v>
      </c>
      <c r="F10" s="2">
        <v>2</v>
      </c>
      <c r="G10" s="2">
        <v>6</v>
      </c>
      <c r="H10" s="77"/>
      <c r="I10" s="77"/>
      <c r="J10" s="77"/>
      <c r="K10" s="77"/>
      <c r="L10" s="77"/>
      <c r="M10" s="77"/>
      <c r="N10" s="77"/>
      <c r="O10" s="77"/>
      <c r="P10" s="77"/>
    </row>
    <row r="11" spans="1:16" x14ac:dyDescent="0.25">
      <c r="A11" s="4"/>
      <c r="B11" s="4"/>
      <c r="C11" s="4">
        <v>10</v>
      </c>
      <c r="D11" s="77"/>
      <c r="E11" s="2">
        <v>3</v>
      </c>
      <c r="F11" s="2">
        <v>4</v>
      </c>
      <c r="G11" s="2">
        <v>6</v>
      </c>
      <c r="H11" s="77"/>
      <c r="I11" s="77"/>
      <c r="J11" s="77"/>
      <c r="K11" s="77"/>
      <c r="L11" s="77"/>
      <c r="M11" s="77"/>
      <c r="N11" s="77"/>
      <c r="O11" s="77"/>
      <c r="P11" s="77"/>
    </row>
    <row r="12" spans="1:16" x14ac:dyDescent="0.25">
      <c r="A12" s="27"/>
      <c r="B12" s="27"/>
      <c r="C12" s="27">
        <v>10</v>
      </c>
      <c r="D12" s="77"/>
      <c r="E12" s="2">
        <v>4</v>
      </c>
      <c r="F12" s="2">
        <v>6</v>
      </c>
      <c r="G12" s="2">
        <v>6</v>
      </c>
      <c r="H12" s="77"/>
      <c r="I12" s="99" t="s">
        <v>4</v>
      </c>
      <c r="J12" s="99"/>
      <c r="K12" s="99"/>
      <c r="L12" s="99"/>
      <c r="M12" s="77"/>
      <c r="N12" s="39" t="s">
        <v>12</v>
      </c>
      <c r="O12" s="40" t="s">
        <v>11</v>
      </c>
      <c r="P12" s="77"/>
    </row>
    <row r="13" spans="1:16" x14ac:dyDescent="0.25">
      <c r="A13" s="4"/>
      <c r="B13" s="4"/>
      <c r="C13" s="4">
        <v>10</v>
      </c>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v>10</v>
      </c>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v>10</v>
      </c>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36</v>
      </c>
      <c r="K22" s="26">
        <f>O7</f>
        <v>6</v>
      </c>
      <c r="L22" s="26">
        <f>EXP</f>
        <v>110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Athey</dc:creator>
  <cp:lastModifiedBy>Chronos</cp:lastModifiedBy>
  <cp:lastPrinted>2015-12-11T03:00:06Z</cp:lastPrinted>
  <dcterms:created xsi:type="dcterms:W3CDTF">2012-07-09T02:39:38Z</dcterms:created>
  <dcterms:modified xsi:type="dcterms:W3CDTF">2018-10-25T01:23:46Z</dcterms:modified>
</cp:coreProperties>
</file>