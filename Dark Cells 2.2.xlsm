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DF5F426F-6966-4292-9673-EFCB8925BF57}" xr6:coauthVersionLast="31" xr6:coauthVersionMax="31" xr10:uidLastSave="{00000000-0000-0000-0000-000000000000}"/>
  <bookViews>
    <workbookView xWindow="0" yWindow="0" windowWidth="25200" windowHeight="11850" firstSheet="1" activeTab="3" xr2:uid="{00000000-000D-0000-FFFF-FFFF00000000}"/>
  </bookViews>
  <sheets>
    <sheet name="Documentation" sheetId="6" state="hidden" r:id="rId1"/>
    <sheet name="Goblin" sheetId="7" r:id="rId2"/>
    <sheet name="Orc" sheetId="8" r:id="rId3"/>
    <sheet name="Ogre" sheetId="9" r:id="rId4"/>
    <sheet name="Kraken" sheetId="11" r:id="rId5"/>
    <sheet name="Warlock" sheetId="12" r:id="rId6"/>
    <sheet name="Mindflayer" sheetId="13" r:id="rId7"/>
    <sheet name="Dragon" sheetId="14" r:id="rId8"/>
    <sheet name="Donkeh" sheetId="15" r:id="rId9"/>
    <sheet name="Nothing" sheetId="16"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J6" i="4"/>
  <c r="N7" i="4" l="1"/>
  <c r="K4" i="4"/>
  <c r="J4" i="4" l="1"/>
  <c r="J22" i="4" l="1"/>
  <c r="O14" i="4" s="1"/>
  <c r="K3" i="4" s="1"/>
  <c r="J8" i="4" l="1"/>
  <c r="J3" i="4" s="1"/>
  <c r="O24" i="5" s="1"/>
  <c r="K22" i="4"/>
  <c r="O13" i="4" s="1"/>
  <c r="J7" i="4" s="1"/>
  <c r="D27" i="11"/>
  <c r="D27" i="9"/>
  <c r="D27" i="15"/>
  <c r="D27" i="12"/>
  <c r="D27" i="16"/>
  <c r="D27" i="13"/>
  <c r="D27" i="7"/>
  <c r="D27" i="14"/>
  <c r="D27" i="8"/>
</calcChain>
</file>

<file path=xl/sharedStrings.xml><?xml version="1.0" encoding="utf-8"?>
<sst xmlns="http://schemas.openxmlformats.org/spreadsheetml/2006/main" count="240" uniqueCount="131">
  <si>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</si>
  <si>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</si>
  <si>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</si>
  <si>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</si>
  <si>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</si>
  <si>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</si>
  <si>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</si>
  <si>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</si>
  <si>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</si>
  <si>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</si>
  <si>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</si>
  <si>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</si>
  <si>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</si>
  <si>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</si>
  <si>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</si>
  <si>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</si>
  <si>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</si>
  <si>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</si>
  <si>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</si>
  <si>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</si>
  <si>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</si>
  <si>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</si>
  <si>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</si>
  <si>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</si>
  <si>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</si>
  <si>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</si>
  <si>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</si>
  <si>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</si>
  <si>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</si>
  <si>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</si>
  <si>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</si>
  <si>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</si>
  <si>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</si>
  <si>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</si>
  <si>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</si>
  <si>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</si>
  <si>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</si>
  <si>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</si>
  <si>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</si>
  <si>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</si>
  <si>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</si>
  <si>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</si>
  <si>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</si>
  <si>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</si>
  <si>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</si>
  <si>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</si>
  <si>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</si>
  <si>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</si>
  <si>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</si>
  <si>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</si>
  <si>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</si>
  <si>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</si>
  <si>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</si>
  <si>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</si>
  <si>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</si>
  <si>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</si>
  <si>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</si>
  <si>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</si>
  <si>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</si>
  <si>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</si>
  <si>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</si>
  <si>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</si>
  <si>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</si>
  <si>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</si>
  <si>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</si>
  <si>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</si>
  <si>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</si>
  <si>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</si>
  <si>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</si>
  <si>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</si>
  <si>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</si>
  <si>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</si>
  <si>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</si>
  <si>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</si>
  <si>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</si>
  <si>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</si>
  <si>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</si>
  <si>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</si>
  <si>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</si>
  <si>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</si>
  <si>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</si>
  <si>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</si>
  <si>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</si>
  <si>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</si>
  <si>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</si>
  <si>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</si>
  <si>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</si>
  <si>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</si>
  <si>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</si>
  <si>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</si>
  <si>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</si>
  <si>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</si>
  <si>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</si>
  <si>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</si>
  <si>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</si>
  <si>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</si>
  <si>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</si>
  <si>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</si>
  <si>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</si>
  <si>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</si>
  <si>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</si>
  <si>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</si>
  <si>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</si>
  <si>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</si>
  <si>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</si>
  <si>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</si>
  <si>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</si>
  <si>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</si>
  <si>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</si>
  <si>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</si>
  <si>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</si>
  <si>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</si>
  <si>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</si>
  <si>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</si>
  <si>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</si>
  <si>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</si>
  <si>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</si>
  <si>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</si>
  <si>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</si>
  <si>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</si>
  <si>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</si>
  <si>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</si>
  <si>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</si>
  <si>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</si>
  <si>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</si>
  <si>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</si>
  <si>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</si>
  <si>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</si>
  <si>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Replaced the original 16 rooms with 9 present rooms that the player randomly moves between</t>
  </si>
  <si>
    <t>Added a room type where the player can fight themselves</t>
  </si>
  <si>
    <t>Once the Battle is over, remember to return to the Room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</si>
</sst>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10" fillId="11" borderId="0" xfId="0" applyFont="1" applyFill="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120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850A258C-C1AF-498E-A504-64B32AE0F43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D3422E01-B0F2-4B7E-8CC2-5C28C013C736}"/>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workbookViewId="0">
      <selection activeCell="B27" sqref="B27"/>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128</v>
      </c>
    </row>
    <row r="18" spans="2:10" x14ac:dyDescent="0.25">
      <c r="B18" t="s">
        <v>129</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F33" sqref="F33"/>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9</v>
      </c>
      <c r="D3" s="90"/>
      <c r="E3" s="90"/>
      <c r="F3" s="90"/>
      <c r="G3" s="90"/>
      <c r="H3" s="90"/>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43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41</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44</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42</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J25" sqref="J25"/>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17</v>
      </c>
      <c r="D3" s="90"/>
      <c r="E3" s="90"/>
      <c r="F3" s="90"/>
      <c r="G3" s="90"/>
      <c r="H3" s="90"/>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116</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117</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49</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tabSelected="1" workbookViewId="0">
      <selection activeCell="C3" sqref="C3:H22"/>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18</v>
      </c>
      <c r="D3" s="90"/>
      <c r="E3" s="90"/>
      <c r="F3" s="90"/>
      <c r="G3" s="90"/>
      <c r="H3" s="90"/>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118</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117</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election activeCell="G28" sqref="G28"/>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20</v>
      </c>
      <c r="D3" s="90"/>
      <c r="E3" s="90"/>
      <c r="F3" s="90"/>
      <c r="G3" s="90"/>
      <c r="H3" s="90"/>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55</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54</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21</v>
      </c>
      <c r="D3" s="90"/>
      <c r="E3" s="90"/>
      <c r="F3" s="90"/>
      <c r="G3" s="90"/>
      <c r="H3" s="90"/>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99</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98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57</v>
      </c>
      <c r="D3" s="90"/>
      <c r="E3" s="90"/>
      <c r="F3" s="90"/>
      <c r="G3" s="90"/>
      <c r="H3" s="90"/>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121</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122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10</v>
      </c>
      <c r="D3" s="90"/>
      <c r="E3" s="90"/>
      <c r="F3" s="90"/>
      <c r="G3" s="90"/>
      <c r="H3" s="90"/>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110</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56</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114</v>
      </c>
      <c r="D3" s="90"/>
      <c r="E3" s="90"/>
      <c r="F3" s="90"/>
      <c r="G3" s="90"/>
      <c r="H3" s="90"/>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93"/>
      <c r="L9" s="93"/>
      <c r="M9" s="93"/>
      <c r="N9" s="93"/>
      <c r="O9" s="93"/>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93"/>
      <c r="L10" s="93"/>
      <c r="M10" s="93"/>
      <c r="N10" s="93"/>
      <c r="O10" s="93"/>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123</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H28" sqref="H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115</v>
      </c>
      <c r="D3" s="90"/>
      <c r="E3" s="90"/>
      <c r="F3" s="90"/>
      <c r="G3" s="90"/>
      <c r="H3" s="90"/>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124</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113</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125</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G3" sqref="G3"/>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109</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t="str">
        <f>'Battle System'!N13</f>
        <v>MindFlayer</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MindFlayer</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t="s">
        <v>130</v>
      </c>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120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f ca="1">O13</f>
        <v>11</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f ca="1">IF(O7=100,J25,IF(O7=20,J26,IF(O7=12,J27,IF(O7=10,J28,IF(O7=8,J29,IF(O7=6,J30,IF(O7=4,J31,IF(O7="x",J32,"No Dice"))))))))</f>
        <v>6</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t="s">
        <v>22</v>
      </c>
      <c r="O13" s="36">
        <f ca="1">IF(VLOOKUP(N13,Monster[],3,FALSE)=100,J25,IF(VLOOKUP(N13,Monster[],3,FALSE)=20,J26,IF(VLOOKUP(N13,Monster[],3,FALSE)=12,J27,IF(VLOOKUP(N13,Monster[],3,FALSE)=10,J28,IF(VLOOKUP(N13,Monster[],3,FALSE)=8,J29,IF(VLOOKUP(N13,Monster[],3,FALSE)=6,J30,IF(VLOOKUP(N13,Monster[],3,FALSE)=4,J31,IF(VLOOKUP(N13,Monster[],3,FALSE)="x",J32,"No Dice"))))))))</f>
        <v>11</v>
      </c>
      <c r="P13" s="77"/>
    </row>
    <row r="14" spans="1:16" x14ac:dyDescent="0.25">
      <c r="A14" s="27"/>
      <c r="B14" s="27"/>
      <c r="C14" s="27"/>
      <c r="D14" s="77"/>
      <c r="E14" s="2">
        <v>6</v>
      </c>
      <c r="F14" s="2">
        <v>10</v>
      </c>
      <c r="G14" s="2">
        <v>6</v>
      </c>
      <c r="H14" s="77"/>
      <c r="I14" s="7" t="s">
        <v>9</v>
      </c>
      <c r="J14" s="7">
        <v>5</v>
      </c>
      <c r="K14" s="7">
        <v>4</v>
      </c>
      <c r="L14" s="8">
        <v>10</v>
      </c>
      <c r="M14" s="77"/>
      <c r="N14" s="41" t="s">
        <v>6</v>
      </c>
      <c r="O14" s="34">
        <f>VLOOKUP(N13,Monster[],2,FALSE)</f>
        <v>120</v>
      </c>
      <c r="P14" s="77"/>
    </row>
    <row r="15" spans="1:16" x14ac:dyDescent="0.25">
      <c r="A15" s="4"/>
      <c r="B15" s="4"/>
      <c r="C15" s="4"/>
      <c r="D15" s="77"/>
      <c r="E15" s="2">
        <v>7</v>
      </c>
      <c r="F15" s="2">
        <v>12</v>
      </c>
      <c r="G15" s="2">
        <v>6</v>
      </c>
      <c r="H15" s="77"/>
      <c r="I15" s="4" t="s">
        <v>17</v>
      </c>
      <c r="J15" s="4">
        <v>25</v>
      </c>
      <c r="K15" s="4">
        <v>6</v>
      </c>
      <c r="L15" s="5">
        <v>20</v>
      </c>
      <c r="M15" s="77"/>
      <c r="N15" s="37" t="s">
        <v>36</v>
      </c>
      <c r="O15" s="23">
        <f>VLOOKUP(N13,Monster[],4,FALSE)</f>
        <v>300</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f ca="1">IF(N13="","",RANDBETWEEN(1,100))</f>
        <v>90</v>
      </c>
      <c r="K25" s="77"/>
      <c r="L25" s="77"/>
      <c r="M25" s="77"/>
      <c r="N25" s="77"/>
      <c r="O25" s="77"/>
      <c r="P25" s="77"/>
    </row>
    <row r="26" spans="1:16" x14ac:dyDescent="0.25">
      <c r="A26" s="27"/>
      <c r="B26" s="27"/>
      <c r="C26" s="27"/>
      <c r="D26" s="77"/>
      <c r="E26" s="2">
        <v>18</v>
      </c>
      <c r="F26" s="2">
        <v>42</v>
      </c>
      <c r="G26" s="2">
        <v>12</v>
      </c>
      <c r="H26" s="77"/>
      <c r="I26" s="32">
        <v>20</v>
      </c>
      <c r="J26" s="21">
        <f ca="1">IF(N13="","",RANDBETWEEN(1,20))</f>
        <v>11</v>
      </c>
      <c r="K26" s="77"/>
      <c r="L26" s="77"/>
      <c r="M26" s="77"/>
      <c r="N26" s="77"/>
      <c r="O26" s="77"/>
      <c r="P26" s="77"/>
    </row>
    <row r="27" spans="1:16" x14ac:dyDescent="0.25">
      <c r="A27" s="4"/>
      <c r="B27" s="4"/>
      <c r="C27" s="4"/>
      <c r="D27" s="77"/>
      <c r="E27" s="2">
        <v>19</v>
      </c>
      <c r="F27" s="2">
        <v>45</v>
      </c>
      <c r="G27" s="2">
        <v>12</v>
      </c>
      <c r="H27" s="77"/>
      <c r="I27" s="30">
        <v>12</v>
      </c>
      <c r="J27" s="31">
        <f ca="1">IF(N13="","",RANDBETWEEN(1,12))</f>
        <v>12</v>
      </c>
      <c r="K27" s="77"/>
      <c r="L27" s="77"/>
      <c r="M27" s="77"/>
      <c r="N27" s="77"/>
      <c r="O27" s="77"/>
      <c r="P27" s="77"/>
    </row>
    <row r="28" spans="1:16" x14ac:dyDescent="0.25">
      <c r="A28" s="27"/>
      <c r="B28" s="27"/>
      <c r="C28" s="27"/>
      <c r="D28" s="77"/>
      <c r="E28" s="2">
        <v>20</v>
      </c>
      <c r="F28" s="2">
        <v>48</v>
      </c>
      <c r="G28" s="2">
        <v>12</v>
      </c>
      <c r="H28" s="77"/>
      <c r="I28" s="32">
        <v>10</v>
      </c>
      <c r="J28" s="21">
        <f ca="1">IF(N13="","",RANDBETWEEN(1,10))</f>
        <v>8</v>
      </c>
      <c r="K28" s="77"/>
      <c r="L28" s="77"/>
      <c r="M28" s="77"/>
      <c r="N28" s="77"/>
      <c r="O28" s="77"/>
      <c r="P28" s="77"/>
    </row>
    <row r="29" spans="1:16" x14ac:dyDescent="0.25">
      <c r="A29" s="4"/>
      <c r="B29" s="4"/>
      <c r="C29" s="4"/>
      <c r="D29" s="77"/>
      <c r="E29" s="2">
        <v>21</v>
      </c>
      <c r="F29" s="2">
        <v>52</v>
      </c>
      <c r="G29" s="2">
        <v>20</v>
      </c>
      <c r="H29" s="77"/>
      <c r="I29" s="30">
        <v>8</v>
      </c>
      <c r="J29" s="31">
        <f ca="1">IF(N13="","",RANDBETWEEN(1,8))</f>
        <v>5</v>
      </c>
      <c r="K29" s="77"/>
      <c r="L29" s="77"/>
      <c r="M29" s="77"/>
      <c r="N29" s="77"/>
      <c r="O29" s="77"/>
      <c r="P29" s="77"/>
    </row>
    <row r="30" spans="1:16" x14ac:dyDescent="0.25">
      <c r="A30" s="27"/>
      <c r="B30" s="27"/>
      <c r="C30" s="27"/>
      <c r="D30" s="77"/>
      <c r="E30" s="2">
        <v>22</v>
      </c>
      <c r="F30" s="2">
        <v>56</v>
      </c>
      <c r="G30" s="2">
        <v>20</v>
      </c>
      <c r="H30" s="77"/>
      <c r="I30" s="32">
        <v>6</v>
      </c>
      <c r="J30" s="21">
        <f ca="1">IF(N13="","",RANDBETWEEN(1,6))</f>
        <v>6</v>
      </c>
      <c r="K30" s="77"/>
      <c r="L30" s="77"/>
      <c r="M30" s="78"/>
      <c r="N30" s="78"/>
      <c r="O30" s="77"/>
      <c r="P30" s="77"/>
    </row>
    <row r="31" spans="1:16" x14ac:dyDescent="0.25">
      <c r="A31" s="4"/>
      <c r="B31" s="4"/>
      <c r="C31" s="4"/>
      <c r="D31" s="77"/>
      <c r="E31" s="2">
        <v>23</v>
      </c>
      <c r="F31" s="2">
        <v>60</v>
      </c>
      <c r="G31" s="2">
        <v>20</v>
      </c>
      <c r="H31" s="77"/>
      <c r="I31" s="30">
        <v>4</v>
      </c>
      <c r="J31" s="31">
        <f ca="1">IF(N13="","",RANDBETWEEN(1,4))</f>
        <v>3</v>
      </c>
      <c r="K31" s="20" t="s">
        <v>2</v>
      </c>
      <c r="L31" s="79"/>
      <c r="M31" s="79"/>
      <c r="N31" s="79"/>
      <c r="O31" s="77"/>
      <c r="P31" s="77"/>
    </row>
    <row r="32" spans="1:16" x14ac:dyDescent="0.25">
      <c r="A32" s="27"/>
      <c r="B32" s="27"/>
      <c r="C32" s="27"/>
      <c r="D32" s="77"/>
      <c r="E32" s="2">
        <v>24</v>
      </c>
      <c r="F32" s="2">
        <v>64</v>
      </c>
      <c r="G32" s="2">
        <v>20</v>
      </c>
      <c r="H32" s="77"/>
      <c r="I32" s="33" t="s">
        <v>1</v>
      </c>
      <c r="J32" s="22">
        <f ca="1">IF(N13="","",RANDBETWEEN(1,K32))</f>
        <v>7</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2018-10-25T15:29:44Z</dcterms:modified>
</cp:coreProperties>
</file>