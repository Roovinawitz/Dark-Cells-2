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6DFB4A65-EC7B-4DEE-A262-5517CC90B4AA}" xr6:coauthVersionLast="31" xr6:coauthVersionMax="31" xr10:uidLastSave="{00000000-0000-0000-0000-000000000000}"/>
  <bookViews>
    <workbookView xWindow="0" yWindow="0" windowWidth="25200" windowHeight="11850" firstSheet="1" activeTab="12" xr2:uid="{00000000-000D-0000-FFFF-FFFF00000000}"/>
  </bookViews>
  <sheets>
    <sheet name="Documentation" sheetId="6" state="hidden" r:id="rId1"/>
    <sheet name="Goblin" sheetId="7"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r:id="rId11"/>
    <sheet name="Secret Information" sheetId="24" state="hidden" r:id="rId12"/>
    <sheet name="Battle System" sheetId="4"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 i="4" l="1"/>
  <c r="O15" i="4" l="1"/>
  <c r="O14" i="4"/>
  <c r="C14" i="5" l="1"/>
  <c r="V11" i="5" l="1"/>
  <c r="V7" i="5"/>
  <c r="J31" i="4" l="1"/>
  <c r="O13" i="4" s="1"/>
  <c r="J32" i="4"/>
  <c r="J30" i="4"/>
  <c r="J29" i="4"/>
  <c r="J28" i="4"/>
  <c r="J27" i="4"/>
  <c r="J26" i="4"/>
  <c r="J25" i="4"/>
  <c r="K28" i="8" l="1"/>
  <c r="K28" i="9"/>
  <c r="K28" i="11"/>
  <c r="K28" i="12"/>
  <c r="K28" i="13"/>
  <c r="K28" i="14"/>
  <c r="K28" i="15"/>
  <c r="K28" i="16"/>
  <c r="K28" i="7"/>
  <c r="E4" i="4" l="1"/>
  <c r="D7" i="5" s="1"/>
  <c r="E15" i="5" l="1"/>
  <c r="B7" i="5" l="1"/>
  <c r="L22" i="4"/>
  <c r="M7" i="4" l="1"/>
  <c r="O7" i="4" s="1"/>
  <c r="C27" i="16"/>
  <c r="C27" i="15"/>
  <c r="C27" i="14"/>
  <c r="C27" i="12"/>
  <c r="C27" i="7"/>
  <c r="C27" i="13"/>
  <c r="C27" i="11"/>
  <c r="C27" i="9"/>
  <c r="C27" i="8"/>
  <c r="J9" i="4"/>
  <c r="J6" i="4"/>
  <c r="N7" i="4" l="1"/>
  <c r="K4" i="4"/>
  <c r="J4" i="4" l="1"/>
  <c r="J22" i="4" l="1"/>
  <c r="J8" i="4" l="1"/>
  <c r="K22" i="4"/>
  <c r="J7" i="4" s="1"/>
  <c r="D27" i="11"/>
  <c r="D27" i="9"/>
  <c r="D27" i="15"/>
  <c r="D27" i="12"/>
  <c r="D27" i="16"/>
  <c r="D27" i="13"/>
  <c r="D27" i="7"/>
  <c r="D27" i="14"/>
  <c r="D27" i="8"/>
  <c r="J3" i="4" l="1"/>
  <c r="O24" i="5" s="1"/>
</calcChain>
</file>

<file path=xl/sharedStrings.xml><?xml version="1.0" encoding="utf-8"?>
<sst xmlns="http://schemas.openxmlformats.org/spreadsheetml/2006/main" count="239" uniqueCount="130">
  <si>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</si>
  <si>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</si>
  <si>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</si>
  <si>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</si>
  <si>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</si>
  <si>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</si>
  <si>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</si>
  <si>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</si>
  <si>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</si>
  <si>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</si>
  <si>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</si>
  <si>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</si>
  <si>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</si>
  <si>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</si>
  <si>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</si>
  <si>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</si>
  <si>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</si>
  <si>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</si>
  <si>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</si>
  <si>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</si>
  <si>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</si>
  <si>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</si>
  <si>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</si>
  <si>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</si>
  <si>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</si>
  <si>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</si>
  <si>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</si>
  <si>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</si>
  <si>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</si>
  <si>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</si>
  <si>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</si>
  <si>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</si>
  <si>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</si>
  <si>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</si>
  <si>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</si>
  <si>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</si>
  <si>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</si>
  <si>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</si>
  <si>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</si>
  <si>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</si>
  <si>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</si>
  <si>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</si>
  <si>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</si>
  <si>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</si>
  <si>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</si>
  <si>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</si>
  <si>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</si>
  <si>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</si>
  <si>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</si>
  <si>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</si>
  <si>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</si>
  <si>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</si>
  <si>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</si>
  <si>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</si>
  <si>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</si>
  <si>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</si>
  <si>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</si>
  <si>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</si>
  <si>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</si>
  <si>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</si>
  <si>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</si>
  <si>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</si>
  <si>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</si>
  <si>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</si>
  <si>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</si>
  <si>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</si>
  <si>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</si>
  <si>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</si>
  <si>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</si>
  <si>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</si>
  <si>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</si>
  <si>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</si>
  <si>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</si>
  <si>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</si>
  <si>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</si>
  <si>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</si>
  <si>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</si>
  <si>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</si>
  <si>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</si>
  <si>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</si>
  <si>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</si>
  <si>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</si>
  <si>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</si>
  <si>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</si>
  <si>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</si>
  <si>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</si>
  <si>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</si>
  <si>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</si>
  <si>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</si>
  <si>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</si>
  <si>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</si>
  <si>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</si>
  <si>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</si>
  <si>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</si>
  <si>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</si>
  <si>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</si>
  <si>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</si>
  <si>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</si>
  <si>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</si>
  <si>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</si>
  <si>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</si>
  <si>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</si>
  <si>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</si>
  <si>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</si>
  <si>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</si>
  <si>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</si>
  <si>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</si>
  <si>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</si>
  <si>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</si>
  <si>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</si>
  <si>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</si>
  <si>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</si>
  <si>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</si>
  <si>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</si>
  <si>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</si>
  <si>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</si>
  <si>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</si>
  <si>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</si>
  <si>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</si>
  <si>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</si>
  <si>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</si>
  <si>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</si>
  <si>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</si>
  <si>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</si>
  <si>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</si>
  <si>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</si>
  <si>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</si>
  <si>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</si>
  <si>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</si>
  <si>
    <t>Last Damage Given: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</si>
</sst>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8</c:v>
                </c:pt>
                <c:pt idx="1">
                  <c:v>26</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workbookViewId="0">
      <selection activeCell="A14" sqref="A14"/>
    </sheetView>
  </sheetViews>
  <sheetFormatPr defaultRowHeight="15" x14ac:dyDescent="0.25"/>
  <cols>
    <col min="1" max="1" width="45.28515625" bestFit="1" customWidth="1"/>
    <col min="2" max="2" width="93.140625" bestFit="1" customWidth="1"/>
  </cols>
  <sheetData>
    <row r="1" spans="1:2" ht="34.5" x14ac:dyDescent="0.45">
      <c r="A1" s="83" t="s">
        <v>94</v>
      </c>
    </row>
    <row r="3" spans="1:2" ht="15.75" x14ac:dyDescent="0.25">
      <c r="A3" s="12" t="s">
        <v>29</v>
      </c>
      <c r="B3" s="13" t="s">
        <v>28</v>
      </c>
    </row>
    <row r="4" spans="1:2" ht="15.75" x14ac:dyDescent="0.25">
      <c r="A4" s="12" t="s">
        <v>27</v>
      </c>
      <c r="B4" s="14" t="s">
        <v>72</v>
      </c>
    </row>
    <row r="5" spans="1:2" ht="45" x14ac:dyDescent="0.25">
      <c r="A5" s="12" t="s">
        <v>26</v>
      </c>
      <c r="B5" s="15" t="s">
        <v>25</v>
      </c>
    </row>
    <row r="6" spans="1:2" ht="60" x14ac:dyDescent="0.25">
      <c r="A6" s="12" t="s">
        <v>24</v>
      </c>
      <c r="B6" s="6" t="s">
        <v>105</v>
      </c>
    </row>
    <row r="7" spans="1:2" ht="15.75" x14ac:dyDescent="0.25">
      <c r="A7" s="64" t="s">
        <v>91</v>
      </c>
      <c r="B7" t="s">
        <v>92</v>
      </c>
    </row>
    <row r="8" spans="1:2" ht="15.75" x14ac:dyDescent="0.25">
      <c r="A8" s="64" t="s">
        <v>93</v>
      </c>
      <c r="B8" t="s">
        <v>126</v>
      </c>
    </row>
    <row r="11" spans="1:2" x14ac:dyDescent="0.25">
      <c r="B11" t="s">
        <v>99</v>
      </c>
    </row>
    <row r="12" spans="1:2" x14ac:dyDescent="0.25">
      <c r="B12" t="s">
        <v>100</v>
      </c>
    </row>
    <row r="13" spans="1:2" x14ac:dyDescent="0.25">
      <c r="B13" t="s">
        <v>102</v>
      </c>
    </row>
    <row r="14" spans="1:2" x14ac:dyDescent="0.25">
      <c r="B14" t="s">
        <v>103</v>
      </c>
    </row>
    <row r="15" spans="1:2" x14ac:dyDescent="0.25">
      <c r="B15" t="s">
        <v>104</v>
      </c>
    </row>
    <row r="16" spans="1:2" x14ac:dyDescent="0.25">
      <c r="B16" t="s">
        <v>107</v>
      </c>
    </row>
    <row r="17" spans="2:10" x14ac:dyDescent="0.25">
      <c r="B17" t="s">
        <v>127</v>
      </c>
    </row>
    <row r="18" spans="2:10" x14ac:dyDescent="0.25">
      <c r="B18" t="s">
        <v>128</v>
      </c>
    </row>
    <row r="20" spans="2:10" x14ac:dyDescent="0.25">
      <c r="B20" t="s">
        <v>101</v>
      </c>
      <c r="J20" s="84"/>
    </row>
    <row r="21" spans="2:10" x14ac:dyDescent="0.25">
      <c r="B21" t="s">
        <v>106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42</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40</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117</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116</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48</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52</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98</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97</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56</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109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55</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113</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110</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122</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45</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36</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44</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37</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38</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39</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125</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96</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topLeftCell="D1"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108</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v>
      </c>
      <c r="C6" s="47"/>
      <c r="D6" s="65" t="s">
        <v>30</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System'!F4+'Battle System'!$E$4</f>
        <v>0</v>
      </c>
      <c r="E7" s="45"/>
      <c r="F7" s="45"/>
      <c r="G7" s="45"/>
      <c r="H7" s="45"/>
      <c r="I7" s="45"/>
      <c r="J7" s="45"/>
      <c r="K7" s="45"/>
      <c r="L7" s="45"/>
      <c r="M7" s="45"/>
      <c r="N7" s="45"/>
      <c r="O7" s="45"/>
      <c r="P7" s="45"/>
      <c r="Q7" s="45"/>
      <c r="R7" s="45"/>
      <c r="S7" s="45"/>
      <c r="T7" s="45"/>
      <c r="U7" s="45"/>
      <c r="V7" s="86">
        <f>LOOKUP(2,1/('Battle System'!A:A&lt;&gt;""),'Battle System'!A:A)</f>
        <v>3</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129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Goblin</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Goblin</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71</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69</v>
      </c>
      <c r="B3" t="s">
        <v>68</v>
      </c>
      <c r="C3" t="s">
        <v>67</v>
      </c>
      <c r="D3" t="s">
        <v>66</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59</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70</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tabSelected="1" workbookViewId="0">
      <selection activeCell="A3" sqref="A3"/>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v>2</v>
      </c>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59</v>
      </c>
      <c r="K2" s="29" t="s">
        <v>12</v>
      </c>
      <c r="L2" s="77"/>
      <c r="M2" s="77"/>
      <c r="N2" s="77"/>
      <c r="O2" s="77"/>
      <c r="P2" s="77"/>
    </row>
    <row r="3" spans="1:16" x14ac:dyDescent="0.25">
      <c r="A3" s="71" t="s">
        <v>0</v>
      </c>
      <c r="B3" s="71" t="s">
        <v>13</v>
      </c>
      <c r="C3" s="71" t="s">
        <v>32</v>
      </c>
      <c r="D3" s="76"/>
      <c r="E3" s="3" t="s">
        <v>33</v>
      </c>
      <c r="F3" s="3" t="s">
        <v>34</v>
      </c>
      <c r="G3" s="77"/>
      <c r="H3" s="77"/>
      <c r="I3" s="72" t="s">
        <v>60</v>
      </c>
      <c r="J3" s="35">
        <f ca="1">IF(N7&lt;=J4,0,IF(J8&gt;0,N7-J6,N7))</f>
        <v>26</v>
      </c>
      <c r="K3" s="36">
        <f>IFERROR(IF(O14&lt;=K4,0,IF(O14&gt;0,O14-J9,O14)),0)</f>
        <v>5</v>
      </c>
      <c r="L3" s="77"/>
      <c r="M3" s="77"/>
      <c r="N3" s="77"/>
      <c r="O3" s="77"/>
      <c r="P3" s="77"/>
    </row>
    <row r="4" spans="1:16" x14ac:dyDescent="0.25">
      <c r="A4" s="27">
        <v>0</v>
      </c>
      <c r="B4" s="27">
        <v>0</v>
      </c>
      <c r="C4" s="27">
        <v>0</v>
      </c>
      <c r="D4" s="76"/>
      <c r="E4" s="28">
        <f>SUM(XP)</f>
        <v>0</v>
      </c>
      <c r="F4" s="28">
        <v>0</v>
      </c>
      <c r="G4" s="77"/>
      <c r="H4" s="77"/>
      <c r="I4" s="72" t="s">
        <v>61</v>
      </c>
      <c r="J4" s="24">
        <f>J6</f>
        <v>8</v>
      </c>
      <c r="K4" s="24">
        <f>J9</f>
        <v>0</v>
      </c>
      <c r="L4" s="77"/>
      <c r="M4" s="77"/>
      <c r="N4" s="77"/>
      <c r="O4" s="77"/>
      <c r="P4" s="77"/>
    </row>
    <row r="5" spans="1:16" x14ac:dyDescent="0.25">
      <c r="A5" s="4">
        <v>5</v>
      </c>
      <c r="B5" s="4"/>
      <c r="C5" s="4"/>
      <c r="D5" s="76"/>
      <c r="E5" s="76"/>
      <c r="F5" s="77"/>
      <c r="G5" s="77"/>
      <c r="H5" s="77"/>
      <c r="I5" s="77"/>
      <c r="J5" s="77"/>
      <c r="K5" s="77"/>
      <c r="L5" s="77"/>
      <c r="M5" s="77"/>
      <c r="N5" s="77"/>
      <c r="O5" s="77"/>
      <c r="P5" s="77"/>
    </row>
    <row r="6" spans="1:16" ht="15.75" thickBot="1" x14ac:dyDescent="0.3">
      <c r="A6" s="27">
        <v>3</v>
      </c>
      <c r="B6" s="27"/>
      <c r="C6" s="27"/>
      <c r="D6" s="76"/>
      <c r="E6" s="77"/>
      <c r="F6" s="77"/>
      <c r="G6" s="77"/>
      <c r="H6" s="77"/>
      <c r="I6" s="48" t="s">
        <v>62</v>
      </c>
      <c r="J6" s="49">
        <f>SUM(Dmg)</f>
        <v>8</v>
      </c>
      <c r="K6" s="77"/>
      <c r="L6" s="39" t="s">
        <v>23</v>
      </c>
      <c r="M6" s="42" t="s">
        <v>3</v>
      </c>
      <c r="N6" s="29" t="s">
        <v>15</v>
      </c>
      <c r="O6" s="29" t="s">
        <v>8</v>
      </c>
      <c r="P6" s="77"/>
    </row>
    <row r="7" spans="1:16" x14ac:dyDescent="0.25">
      <c r="A7" s="4"/>
      <c r="B7" s="4"/>
      <c r="C7" s="4"/>
      <c r="D7" s="77"/>
      <c r="E7" s="98" t="s">
        <v>3</v>
      </c>
      <c r="F7" s="98"/>
      <c r="G7" s="98"/>
      <c r="H7" s="77"/>
      <c r="I7" s="48" t="s">
        <v>63</v>
      </c>
      <c r="J7" s="49">
        <f ca="1">O13</f>
        <v>4</v>
      </c>
      <c r="K7" s="77"/>
      <c r="L7" s="37">
        <v>34</v>
      </c>
      <c r="M7" s="43">
        <f>Gameplay!$B$7</f>
        <v>1</v>
      </c>
      <c r="N7" s="44">
        <f>(Basehealth+VLOOKUP(M7,LVL,2,FALSE))</f>
        <v>34</v>
      </c>
      <c r="O7" s="44">
        <f>IF(N9="Dragon's Bane","X",VLOOKUP(M7,E9:G33,3,FALSE))</f>
        <v>6</v>
      </c>
      <c r="P7" s="77"/>
    </row>
    <row r="8" spans="1:16" ht="22.5" customHeight="1" x14ac:dyDescent="0.25">
      <c r="A8" s="27"/>
      <c r="B8" s="27"/>
      <c r="C8" s="27"/>
      <c r="D8" s="77"/>
      <c r="E8" t="s">
        <v>14</v>
      </c>
      <c r="F8" t="s">
        <v>15</v>
      </c>
      <c r="G8" t="s">
        <v>16</v>
      </c>
      <c r="H8" s="77"/>
      <c r="I8" s="48" t="s">
        <v>64</v>
      </c>
      <c r="J8" s="49">
        <f ca="1">IF(O7=100,J25,IF(O7=20,J26,IF(O7=12,J27,IF(O7=10,J28,IF(O7=8,J29,IF(O7=6,J30,IF(O7=4,J31,IF(O7="x",J32,"No Dice"))))))))</f>
        <v>1</v>
      </c>
      <c r="K8" s="77"/>
      <c r="L8" s="77"/>
      <c r="M8" s="77"/>
      <c r="N8" s="77"/>
      <c r="O8" s="77"/>
      <c r="P8" s="77"/>
    </row>
    <row r="9" spans="1:16" x14ac:dyDescent="0.25">
      <c r="A9" s="4"/>
      <c r="B9" s="4"/>
      <c r="C9" s="4"/>
      <c r="D9" s="77"/>
      <c r="E9" s="2">
        <v>1</v>
      </c>
      <c r="F9" s="2">
        <v>0</v>
      </c>
      <c r="G9" s="2">
        <v>6</v>
      </c>
      <c r="H9" s="77"/>
      <c r="I9" s="48" t="s">
        <v>65</v>
      </c>
      <c r="J9" s="49">
        <f>SUM(mdmg)</f>
        <v>0</v>
      </c>
      <c r="K9" s="77"/>
      <c r="L9" s="77"/>
      <c r="M9" s="81" t="s">
        <v>96</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31</v>
      </c>
      <c r="M13" s="77"/>
      <c r="N13" s="38" t="s">
        <v>9</v>
      </c>
      <c r="O13" s="36">
        <f ca="1">IF(VLOOKUP(N13,I14:L22,3,FALSE)=100,J25,IF(VLOOKUP(N13,I14:L22,3,FALSE)=20,J26,IF(VLOOKUP(N13,I14:L22,3,FALSE)=12,J27,IF(VLOOKUP(N13,I14:L22,3,FALSE)=10,J28,IF(VLOOKUP(N13,I14:L22,3,FALSE)=8,J29,IF(VLOOKUP(N13,I14:L22,3,FALSE)=6,J30,IF(VLOOKUP(N13,I14:L22,3,FALSE)=4,J31,IF(VLOOKUP(N13,I14:L22,3,FALSE)="x",J32,"No Dice"))))))))</f>
        <v>4</v>
      </c>
      <c r="P13" s="77"/>
    </row>
    <row r="14" spans="1:16" x14ac:dyDescent="0.25">
      <c r="A14" s="27"/>
      <c r="B14" s="27"/>
      <c r="C14" s="27"/>
      <c r="D14" s="77"/>
      <c r="E14" s="2">
        <v>6</v>
      </c>
      <c r="F14" s="2">
        <v>10</v>
      </c>
      <c r="G14" s="2">
        <v>6</v>
      </c>
      <c r="H14" s="77"/>
      <c r="I14" s="7" t="s">
        <v>9</v>
      </c>
      <c r="J14" s="7">
        <v>5</v>
      </c>
      <c r="K14" s="7">
        <v>4</v>
      </c>
      <c r="L14" s="8">
        <v>10</v>
      </c>
      <c r="M14" s="77"/>
      <c r="N14" s="41" t="s">
        <v>6</v>
      </c>
      <c r="O14" s="34">
        <f>VLOOKUP(N13,I14:L22,2,FALSE)</f>
        <v>5</v>
      </c>
      <c r="P14" s="77"/>
    </row>
    <row r="15" spans="1:16" x14ac:dyDescent="0.25">
      <c r="A15" s="4"/>
      <c r="B15" s="4"/>
      <c r="C15" s="4"/>
      <c r="D15" s="77"/>
      <c r="E15" s="2">
        <v>7</v>
      </c>
      <c r="F15" s="2">
        <v>12</v>
      </c>
      <c r="G15" s="2">
        <v>6</v>
      </c>
      <c r="H15" s="77"/>
      <c r="I15" s="4" t="s">
        <v>17</v>
      </c>
      <c r="J15" s="4">
        <v>25</v>
      </c>
      <c r="K15" s="4">
        <v>6</v>
      </c>
      <c r="L15" s="5">
        <v>20</v>
      </c>
      <c r="M15" s="77"/>
      <c r="N15" s="37" t="s">
        <v>35</v>
      </c>
      <c r="O15" s="23">
        <f>VLOOKUP(N13,I14:L22,4,FALSE)</f>
        <v>10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59</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57</v>
      </c>
      <c r="J24" s="29" t="s">
        <v>58</v>
      </c>
      <c r="K24" s="80"/>
      <c r="L24" s="77"/>
      <c r="M24" s="77"/>
      <c r="N24" s="77"/>
      <c r="O24" s="77"/>
      <c r="P24" s="77"/>
    </row>
    <row r="25" spans="1:16" x14ac:dyDescent="0.25">
      <c r="A25" s="4"/>
      <c r="B25" s="4"/>
      <c r="C25" s="4"/>
      <c r="D25" s="77"/>
      <c r="E25" s="2">
        <v>17</v>
      </c>
      <c r="F25" s="2">
        <v>39</v>
      </c>
      <c r="G25" s="2">
        <v>12</v>
      </c>
      <c r="H25" s="77"/>
      <c r="I25" s="30">
        <v>100</v>
      </c>
      <c r="J25" s="31">
        <f ca="1">IF(N13="","",RANDBETWEEN(1,100))</f>
        <v>37</v>
      </c>
      <c r="K25" s="77"/>
      <c r="L25" s="77"/>
      <c r="M25" s="77"/>
      <c r="N25" s="77"/>
      <c r="O25" s="77"/>
      <c r="P25" s="77"/>
    </row>
    <row r="26" spans="1:16" x14ac:dyDescent="0.25">
      <c r="A26" s="27"/>
      <c r="B26" s="27"/>
      <c r="C26" s="27"/>
      <c r="D26" s="77"/>
      <c r="E26" s="2">
        <v>18</v>
      </c>
      <c r="F26" s="2">
        <v>42</v>
      </c>
      <c r="G26" s="2">
        <v>12</v>
      </c>
      <c r="H26" s="77"/>
      <c r="I26" s="32">
        <v>20</v>
      </c>
      <c r="J26" s="21">
        <f ca="1">IF(N13="","",RANDBETWEEN(1,20))</f>
        <v>3</v>
      </c>
      <c r="K26" s="77"/>
      <c r="L26" s="77"/>
      <c r="M26" s="77"/>
      <c r="N26" s="77"/>
      <c r="O26" s="77"/>
      <c r="P26" s="77"/>
    </row>
    <row r="27" spans="1:16" x14ac:dyDescent="0.25">
      <c r="A27" s="4"/>
      <c r="B27" s="4"/>
      <c r="C27" s="4"/>
      <c r="D27" s="77"/>
      <c r="E27" s="2">
        <v>19</v>
      </c>
      <c r="F27" s="2">
        <v>45</v>
      </c>
      <c r="G27" s="2">
        <v>12</v>
      </c>
      <c r="H27" s="77"/>
      <c r="I27" s="30">
        <v>12</v>
      </c>
      <c r="J27" s="31">
        <f ca="1">IF(N13="","",RANDBETWEEN(1,12))</f>
        <v>12</v>
      </c>
      <c r="K27" s="77"/>
      <c r="L27" s="77"/>
      <c r="M27" s="77"/>
      <c r="N27" s="77"/>
      <c r="O27" s="77"/>
      <c r="P27" s="77"/>
    </row>
    <row r="28" spans="1:16" x14ac:dyDescent="0.25">
      <c r="A28" s="27"/>
      <c r="B28" s="27"/>
      <c r="C28" s="27"/>
      <c r="D28" s="77"/>
      <c r="E28" s="2">
        <v>20</v>
      </c>
      <c r="F28" s="2">
        <v>48</v>
      </c>
      <c r="G28" s="2">
        <v>12</v>
      </c>
      <c r="H28" s="77"/>
      <c r="I28" s="32">
        <v>10</v>
      </c>
      <c r="J28" s="21">
        <f ca="1">IF(N13="","",RANDBETWEEN(1,10))</f>
        <v>1</v>
      </c>
      <c r="K28" s="77"/>
      <c r="L28" s="77"/>
      <c r="M28" s="77"/>
      <c r="N28" s="77"/>
      <c r="O28" s="77"/>
      <c r="P28" s="77"/>
    </row>
    <row r="29" spans="1:16" x14ac:dyDescent="0.25">
      <c r="A29" s="4"/>
      <c r="B29" s="4"/>
      <c r="C29" s="4"/>
      <c r="D29" s="77"/>
      <c r="E29" s="2">
        <v>21</v>
      </c>
      <c r="F29" s="2">
        <v>52</v>
      </c>
      <c r="G29" s="2">
        <v>20</v>
      </c>
      <c r="H29" s="77"/>
      <c r="I29" s="30">
        <v>8</v>
      </c>
      <c r="J29" s="31">
        <f ca="1">IF(N13="","",RANDBETWEEN(1,8))</f>
        <v>8</v>
      </c>
      <c r="K29" s="77"/>
      <c r="L29" s="77"/>
      <c r="M29" s="77"/>
      <c r="N29" s="77"/>
      <c r="O29" s="77"/>
      <c r="P29" s="77"/>
    </row>
    <row r="30" spans="1:16" x14ac:dyDescent="0.25">
      <c r="A30" s="27"/>
      <c r="B30" s="27"/>
      <c r="C30" s="27"/>
      <c r="D30" s="77"/>
      <c r="E30" s="2">
        <v>22</v>
      </c>
      <c r="F30" s="2">
        <v>56</v>
      </c>
      <c r="G30" s="2">
        <v>20</v>
      </c>
      <c r="H30" s="77"/>
      <c r="I30" s="32">
        <v>6</v>
      </c>
      <c r="J30" s="21">
        <f ca="1">IF(N13="","",RANDBETWEEN(1,6))</f>
        <v>1</v>
      </c>
      <c r="K30" s="77"/>
      <c r="L30" s="77"/>
      <c r="M30" s="78"/>
      <c r="N30" s="78"/>
      <c r="O30" s="77"/>
      <c r="P30" s="77"/>
    </row>
    <row r="31" spans="1:16" x14ac:dyDescent="0.25">
      <c r="A31" s="4"/>
      <c r="B31" s="4"/>
      <c r="C31" s="4"/>
      <c r="D31" s="77"/>
      <c r="E31" s="2">
        <v>23</v>
      </c>
      <c r="F31" s="2">
        <v>60</v>
      </c>
      <c r="G31" s="2">
        <v>20</v>
      </c>
      <c r="H31" s="77"/>
      <c r="I31" s="30">
        <v>4</v>
      </c>
      <c r="J31" s="31">
        <f ca="1">IF(N13="","",RANDBETWEEN(1,4))</f>
        <v>4</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28</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74</v>
      </c>
      <c r="C2" s="67"/>
      <c r="D2" s="68"/>
      <c r="E2" s="68"/>
      <c r="F2" s="68"/>
      <c r="G2" s="68"/>
      <c r="H2" s="68"/>
      <c r="I2" s="68"/>
      <c r="J2" s="68"/>
      <c r="K2" s="68"/>
    </row>
    <row r="3" spans="2:11" ht="15.75" collapsed="1" x14ac:dyDescent="0.25">
      <c r="B3" s="69"/>
      <c r="C3" s="69"/>
      <c r="D3" s="70" t="s">
        <v>76</v>
      </c>
      <c r="E3" s="70" t="s">
        <v>81</v>
      </c>
      <c r="F3" s="70" t="s">
        <v>82</v>
      </c>
      <c r="G3" s="70" t="s">
        <v>83</v>
      </c>
      <c r="H3" s="70" t="s">
        <v>84</v>
      </c>
      <c r="I3" s="70" t="s">
        <v>85</v>
      </c>
      <c r="J3" s="70" t="s">
        <v>86</v>
      </c>
      <c r="K3" s="70" t="s">
        <v>87</v>
      </c>
    </row>
    <row r="4" spans="2:11" ht="33.75" hidden="1" outlineLevel="1" x14ac:dyDescent="0.25">
      <c r="B4" s="59"/>
      <c r="C4" s="59"/>
      <c r="D4" s="56"/>
      <c r="E4" s="63" t="s">
        <v>73</v>
      </c>
      <c r="F4" s="63" t="s">
        <v>73</v>
      </c>
      <c r="G4" s="63" t="s">
        <v>73</v>
      </c>
      <c r="H4" s="63" t="s">
        <v>73</v>
      </c>
      <c r="I4" s="63" t="s">
        <v>73</v>
      </c>
      <c r="J4" s="63" t="s">
        <v>73</v>
      </c>
      <c r="K4" s="63" t="s">
        <v>73</v>
      </c>
    </row>
    <row r="5" spans="2:11" x14ac:dyDescent="0.25">
      <c r="B5" s="60" t="s">
        <v>75</v>
      </c>
      <c r="C5" s="60"/>
      <c r="D5" s="58"/>
      <c r="E5" s="58"/>
      <c r="F5" s="58"/>
      <c r="G5" s="58"/>
      <c r="H5" s="58"/>
      <c r="I5" s="58"/>
      <c r="J5" s="58"/>
      <c r="K5" s="58"/>
    </row>
    <row r="6" spans="2:11" outlineLevel="1" x14ac:dyDescent="0.25">
      <c r="B6" s="59"/>
      <c r="C6" s="59" t="s">
        <v>89</v>
      </c>
      <c r="D6" s="56" t="s">
        <v>95</v>
      </c>
      <c r="E6" s="62">
        <v>5</v>
      </c>
      <c r="F6" s="62">
        <v>25</v>
      </c>
      <c r="G6" s="62">
        <v>35</v>
      </c>
      <c r="H6" s="62">
        <v>80</v>
      </c>
      <c r="I6" s="62">
        <v>50</v>
      </c>
      <c r="J6" s="62">
        <v>120</v>
      </c>
      <c r="K6" s="62">
        <v>250</v>
      </c>
    </row>
    <row r="7" spans="2:11" outlineLevel="1" x14ac:dyDescent="0.25">
      <c r="B7" s="59"/>
      <c r="C7" s="59" t="s">
        <v>88</v>
      </c>
      <c r="D7" s="56">
        <v>0</v>
      </c>
      <c r="E7" s="62">
        <v>33</v>
      </c>
      <c r="F7" s="62">
        <v>33</v>
      </c>
      <c r="G7" s="62">
        <v>33</v>
      </c>
      <c r="H7" s="62">
        <v>33</v>
      </c>
      <c r="I7" s="62">
        <v>33</v>
      </c>
      <c r="J7" s="62">
        <v>33</v>
      </c>
      <c r="K7" s="62">
        <v>33</v>
      </c>
    </row>
    <row r="8" spans="2:11" x14ac:dyDescent="0.25">
      <c r="B8" s="60" t="s">
        <v>77</v>
      </c>
      <c r="C8" s="60"/>
      <c r="D8" s="58"/>
      <c r="E8" s="58"/>
      <c r="F8" s="58"/>
      <c r="G8" s="58"/>
      <c r="H8" s="58"/>
      <c r="I8" s="58"/>
      <c r="J8" s="58"/>
      <c r="K8" s="58"/>
    </row>
    <row r="9" spans="2:11" ht="15.75" outlineLevel="1" thickBot="1" x14ac:dyDescent="0.3">
      <c r="B9" s="61"/>
      <c r="C9" s="61" t="s">
        <v>90</v>
      </c>
      <c r="D9" s="57">
        <v>0</v>
      </c>
      <c r="E9" s="57">
        <v>5</v>
      </c>
      <c r="F9" s="57">
        <v>25</v>
      </c>
      <c r="G9" s="57">
        <v>35</v>
      </c>
      <c r="H9" s="57">
        <v>80</v>
      </c>
      <c r="I9" s="57">
        <v>50</v>
      </c>
      <c r="J9" s="57">
        <v>120</v>
      </c>
      <c r="K9" s="57">
        <v>250</v>
      </c>
    </row>
    <row r="10" spans="2:11" x14ac:dyDescent="0.25">
      <c r="B10" t="s">
        <v>78</v>
      </c>
    </row>
    <row r="11" spans="2:11" x14ac:dyDescent="0.25">
      <c r="B11" t="s">
        <v>79</v>
      </c>
    </row>
    <row r="12" spans="2:11" x14ac:dyDescent="0.25">
      <c r="B12" t="s">
        <v>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Athey</dc:creator>
  <cp:lastModifiedBy>Chronos</cp:lastModifiedBy>
  <cp:lastPrinted>2015-12-11T03:00:06Z</cp:lastPrinted>
  <dcterms:created xsi:type="dcterms:W3CDTF">2012-07-09T02:39:38Z</dcterms:created>
  <dcterms:modified xsi:type="dcterms:W3CDTF">2018-10-25T04:16:05Z</dcterms:modified>
</cp:coreProperties>
</file>