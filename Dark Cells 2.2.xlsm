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BCCF2FB4-62F6-49FB-BB96-CDEC149F5668}"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<sst xmlns="http://schemas.openxmlformats.org/spreadsheetml/2006/main" count="238" uniqueCount="130">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</sst>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10" fillId="11" borderId="0" xfId="0" applyFont="1" applyFill="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B19" sqref="B19"/>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Q20" sqref="Q20"/>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9</v>
      </c>
      <c r="D3" s="90"/>
      <c r="E3" s="90"/>
      <c r="F3" s="90"/>
      <c r="G3" s="90"/>
      <c r="H3" s="90"/>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K22" sqref="K22:O22"/>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17</v>
      </c>
      <c r="D3" s="90"/>
      <c r="E3" s="90"/>
      <c r="F3" s="90"/>
      <c r="G3" s="90"/>
      <c r="H3" s="90"/>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18</v>
      </c>
      <c r="D3" s="90"/>
      <c r="E3" s="90"/>
      <c r="F3" s="90"/>
      <c r="G3" s="90"/>
      <c r="H3" s="90"/>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G28" sqref="G28"/>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20</v>
      </c>
      <c r="D3" s="90"/>
      <c r="E3" s="90"/>
      <c r="F3" s="90"/>
      <c r="G3" s="90"/>
      <c r="H3" s="90"/>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21</v>
      </c>
      <c r="D3" s="90"/>
      <c r="E3" s="90"/>
      <c r="F3" s="90"/>
      <c r="G3" s="90"/>
      <c r="H3" s="90"/>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57</v>
      </c>
      <c r="D3" s="90"/>
      <c r="E3" s="90"/>
      <c r="F3" s="90"/>
      <c r="G3" s="90"/>
      <c r="H3" s="90"/>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4"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5"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10</v>
      </c>
      <c r="D3" s="90"/>
      <c r="E3" s="90"/>
      <c r="F3" s="90"/>
      <c r="G3" s="90"/>
      <c r="H3" s="90"/>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114</v>
      </c>
      <c r="D3" s="90"/>
      <c r="E3" s="90"/>
      <c r="F3" s="90"/>
      <c r="G3" s="90"/>
      <c r="H3" s="90"/>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93"/>
      <c r="L9" s="93"/>
      <c r="M9" s="93"/>
      <c r="N9" s="93"/>
      <c r="O9" s="93"/>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93"/>
      <c r="L10" s="93"/>
      <c r="M10" s="93"/>
      <c r="N10" s="93"/>
      <c r="O10" s="93"/>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115</v>
      </c>
      <c r="D3" s="90"/>
      <c r="E3" s="90"/>
      <c r="F3" s="90"/>
      <c r="G3" s="90"/>
      <c r="H3" s="90"/>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109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f>'Battle System'!N13</f>
        <v>0</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t="e">
        <f>O13</f>
        <v>#N/A</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t="str">
        <f ca="1">IF(O7=100,J25,IF(O7=20,J26,IF(O7=12,J27,IF(O7=10,J28,IF(O7=8,J29,IF(O7=6,J30,IF(O7=4,J31,IF(O7="x",J32,"No Dice"))))))))</f>
        <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c r="O13" s="36" t="e">
        <f>IF(VLOOKUP(N13,Monster[],3,FALSE)=100,J25,IF(VLOOKUP(N13,Monster[],3,FALSE)=20,J26,IF(VLOOKUP(N13,Monster[],3,FALSE)=12,J27,IF(VLOOKUP(N13,Monster[],3,FALSE)=10,J28,IF(VLOOKUP(N13,Monster[],3,FALSE)=8,J29,IF(VLOOKUP(N13,Monster[],3,FALSE)=6,J30,IF(VLOOKUP(N13,Monster[],3,FALSE)=4,J31,IF(VLOOKUP(N13,Monster[],3,FALSE)="x",J32,"No Dice"))))))))</f>
        <v>#N/A</v>
      </c>
      <c r="P13" s="77"/>
    </row>
    <row r="14" spans="1:16" x14ac:dyDescent="0.25">
      <c r="A14" s="27"/>
      <c r="B14" s="27"/>
      <c r="C14" s="27"/>
      <c r="D14" s="77"/>
      <c r="E14" s="2">
        <v>6</v>
      </c>
      <c r="F14" s="2">
        <v>10</v>
      </c>
      <c r="G14" s="2">
        <v>6</v>
      </c>
      <c r="H14" s="77"/>
      <c r="I14" s="7" t="s">
        <v>9</v>
      </c>
      <c r="J14" s="7">
        <v>5</v>
      </c>
      <c r="K14" s="7">
        <v>4</v>
      </c>
      <c r="L14" s="8">
        <v>10</v>
      </c>
      <c r="M14" s="77"/>
      <c r="N14" s="41" t="s">
        <v>6</v>
      </c>
      <c r="O14" s="34" t="e">
        <f>VLOOKUP(N13,Monster[],2,FALSE)</f>
        <v>#N/A</v>
      </c>
      <c r="P14" s="77"/>
    </row>
    <row r="15" spans="1:16" x14ac:dyDescent="0.25">
      <c r="A15" s="4"/>
      <c r="B15" s="4"/>
      <c r="C15" s="4"/>
      <c r="D15" s="77"/>
      <c r="E15" s="2">
        <v>7</v>
      </c>
      <c r="F15" s="2">
        <v>12</v>
      </c>
      <c r="G15" s="2">
        <v>6</v>
      </c>
      <c r="H15" s="77"/>
      <c r="I15" s="4" t="s">
        <v>17</v>
      </c>
      <c r="J15" s="4">
        <v>25</v>
      </c>
      <c r="K15" s="4">
        <v>6</v>
      </c>
      <c r="L15" s="5">
        <v>20</v>
      </c>
      <c r="M15" s="77"/>
      <c r="N15" s="37" t="s">
        <v>36</v>
      </c>
      <c r="O15" s="23" t="e">
        <f>VLOOKUP(N13,Monster[],4,FALSE)</f>
        <v>#N/A</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t="str">
        <f ca="1">IF(N13="","",RANDBETWEEN(1,100))</f>
        <v/>
      </c>
      <c r="K25" s="77"/>
      <c r="L25" s="77"/>
      <c r="M25" s="77"/>
      <c r="N25" s="77"/>
      <c r="O25" s="77"/>
      <c r="P25" s="77"/>
    </row>
    <row r="26" spans="1:16" x14ac:dyDescent="0.25">
      <c r="A26" s="27"/>
      <c r="B26" s="27"/>
      <c r="C26" s="27"/>
      <c r="D26" s="77"/>
      <c r="E26" s="2">
        <v>18</v>
      </c>
      <c r="F26" s="2">
        <v>42</v>
      </c>
      <c r="G26" s="2">
        <v>12</v>
      </c>
      <c r="H26" s="77"/>
      <c r="I26" s="32">
        <v>20</v>
      </c>
      <c r="J26" s="21" t="str">
        <f ca="1">IF(N13="","",RANDBETWEEN(1,20))</f>
        <v/>
      </c>
      <c r="K26" s="77"/>
      <c r="L26" s="77"/>
      <c r="M26" s="77"/>
      <c r="N26" s="77"/>
      <c r="O26" s="77"/>
      <c r="P26" s="77"/>
    </row>
    <row r="27" spans="1:16" x14ac:dyDescent="0.25">
      <c r="A27" s="4"/>
      <c r="B27" s="4"/>
      <c r="C27" s="4"/>
      <c r="D27" s="77"/>
      <c r="E27" s="2">
        <v>19</v>
      </c>
      <c r="F27" s="2">
        <v>45</v>
      </c>
      <c r="G27" s="2">
        <v>12</v>
      </c>
      <c r="H27" s="77"/>
      <c r="I27" s="30">
        <v>12</v>
      </c>
      <c r="J27" s="31" t="str">
        <f ca="1">IF(N13="","",RANDBETWEEN(1,12))</f>
        <v/>
      </c>
      <c r="K27" s="77"/>
      <c r="L27" s="77"/>
      <c r="M27" s="77"/>
      <c r="N27" s="77"/>
      <c r="O27" s="77"/>
      <c r="P27" s="77"/>
    </row>
    <row r="28" spans="1:16" x14ac:dyDescent="0.25">
      <c r="A28" s="27"/>
      <c r="B28" s="27"/>
      <c r="C28" s="27"/>
      <c r="D28" s="77"/>
      <c r="E28" s="2">
        <v>20</v>
      </c>
      <c r="F28" s="2">
        <v>48</v>
      </c>
      <c r="G28" s="2">
        <v>12</v>
      </c>
      <c r="H28" s="77"/>
      <c r="I28" s="32">
        <v>10</v>
      </c>
      <c r="J28" s="21" t="str">
        <f ca="1">IF(N13="","",RANDBETWEEN(1,10))</f>
        <v/>
      </c>
      <c r="K28" s="77"/>
      <c r="L28" s="77"/>
      <c r="M28" s="77"/>
      <c r="N28" s="77"/>
      <c r="O28" s="77"/>
      <c r="P28" s="77"/>
    </row>
    <row r="29" spans="1:16" x14ac:dyDescent="0.25">
      <c r="A29" s="4"/>
      <c r="B29" s="4"/>
      <c r="C29" s="4"/>
      <c r="D29" s="77"/>
      <c r="E29" s="2">
        <v>21</v>
      </c>
      <c r="F29" s="2">
        <v>52</v>
      </c>
      <c r="G29" s="2">
        <v>20</v>
      </c>
      <c r="H29" s="77"/>
      <c r="I29" s="30">
        <v>8</v>
      </c>
      <c r="J29" s="31" t="str">
        <f ca="1">IF(N13="","",RANDBETWEEN(1,8))</f>
        <v/>
      </c>
      <c r="K29" s="77"/>
      <c r="L29" s="77"/>
      <c r="M29" s="77"/>
      <c r="N29" s="77"/>
      <c r="O29" s="77"/>
      <c r="P29" s="77"/>
    </row>
    <row r="30" spans="1:16" x14ac:dyDescent="0.25">
      <c r="A30" s="27"/>
      <c r="B30" s="27"/>
      <c r="C30" s="27"/>
      <c r="D30" s="77"/>
      <c r="E30" s="2">
        <v>22</v>
      </c>
      <c r="F30" s="2">
        <v>56</v>
      </c>
      <c r="G30" s="2">
        <v>20</v>
      </c>
      <c r="H30" s="77"/>
      <c r="I30" s="32">
        <v>6</v>
      </c>
      <c r="J30" s="21" t="str">
        <f ca="1">IF(N13="","",RANDBETWEEN(1,6))</f>
        <v/>
      </c>
      <c r="K30" s="77"/>
      <c r="L30" s="77"/>
      <c r="M30" s="78"/>
      <c r="N30" s="78"/>
      <c r="O30" s="77"/>
      <c r="P30" s="77"/>
    </row>
    <row r="31" spans="1:16" x14ac:dyDescent="0.25">
      <c r="A31" s="4"/>
      <c r="B31" s="4"/>
      <c r="C31" s="4"/>
      <c r="D31" s="77"/>
      <c r="E31" s="2">
        <v>23</v>
      </c>
      <c r="F31" s="2">
        <v>60</v>
      </c>
      <c r="G31" s="2">
        <v>20</v>
      </c>
      <c r="H31" s="77"/>
      <c r="I31" s="30">
        <v>4</v>
      </c>
      <c r="J31" s="31" t="str">
        <f ca="1">IF(N13="","",RANDBETWEEN(1,4))</f>
        <v/>
      </c>
      <c r="K31" s="20" t="s">
        <v>2</v>
      </c>
      <c r="L31" s="79"/>
      <c r="M31" s="79"/>
      <c r="N31" s="79"/>
      <c r="O31" s="77"/>
      <c r="P31" s="77"/>
    </row>
    <row r="32" spans="1:16" x14ac:dyDescent="0.25">
      <c r="A32" s="27"/>
      <c r="B32" s="27"/>
      <c r="C32" s="27"/>
      <c r="D32" s="77"/>
      <c r="E32" s="2">
        <v>24</v>
      </c>
      <c r="F32" s="2">
        <v>64</v>
      </c>
      <c r="G32" s="2">
        <v>20</v>
      </c>
      <c r="H32" s="77"/>
      <c r="I32" s="33" t="s">
        <v>1</v>
      </c>
      <c r="J32" s="22" t="str">
        <f ca="1">IF(N13="","",RANDBETWEEN(1,K32))</f>
        <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Athey</dc:creator>
  <cp:lastModifiedBy>Chronos</cp:lastModifiedBy>
  <cp:lastPrinted>2015-12-11T03:00:06Z</cp:lastPrinted>
  <dcterms:created xsi:type="dcterms:W3CDTF">2012-07-09T02:39:38Z</dcterms:created>
  <dcterms:modified xsi:type="dcterms:W3CDTF">2018-10-25T01:24:42Z</dcterms:modified>
</cp:coreProperties>
</file>