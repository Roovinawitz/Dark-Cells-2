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6B0EF792-6B1C-4A9B-B893-1DDA8FAC7998}"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<sst xmlns="http://schemas.openxmlformats.org/spreadsheetml/2006/main" count="240" uniqueCount="131">
  <si>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</si>
  <si>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</si>
  <si>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</si>
  <si>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</si>
  <si>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</si>
  <si>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</si>
  <si>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</si>
  <si>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</si>
  <si>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</si>
  <si>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</si>
  <si>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</si>
  <si>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</si>
  <si>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</si>
  <si>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</si>
  <si>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</si>
  <si>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</si>
  <si>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</si>
  <si>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</si>
  <si>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</si>
  <si>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</si>
  <si>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</si>
  <si>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</si>
  <si>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</si>
  <si>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</si>
  <si>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</si>
  <si>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</si>
  <si>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</si>
  <si>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</si>
  <si>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</si>
  <si>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</si>
  <si>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</si>
  <si>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</si>
  <si>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</si>
  <si>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</si>
  <si>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</si>
  <si>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</si>
  <si>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</si>
  <si>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</si>
  <si>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</si>
  <si>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</si>
  <si>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</si>
  <si>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</si>
  <si>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</si>
  <si>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</si>
  <si>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</si>
  <si>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</si>
  <si>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</si>
  <si>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</si>
  <si>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</si>
  <si>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</si>
  <si>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</si>
  <si>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</si>
  <si>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</si>
  <si>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</si>
  <si>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</si>
  <si>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</si>
  <si>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</si>
  <si>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</si>
  <si>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</si>
  <si>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</si>
  <si>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</si>
  <si>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</si>
  <si>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</si>
  <si>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</si>
  <si>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</si>
  <si>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</si>
  <si>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</si>
  <si>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</si>
  <si>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</si>
  <si>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</si>
  <si>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</si>
  <si>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</si>
  <si>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</si>
  <si>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</si>
  <si>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</si>
  <si>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</si>
  <si>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</si>
  <si>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</si>
  <si>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</si>
  <si>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</si>
  <si>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</si>
  <si>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</si>
  <si>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</si>
  <si>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</si>
  <si>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</si>
  <si>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</si>
  <si>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</si>
  <si>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</si>
  <si>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</si>
  <si>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</si>
  <si>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</si>
  <si>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</si>
  <si>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</si>
  <si>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</si>
  <si>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</si>
  <si>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</si>
  <si>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</si>
  <si>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</si>
  <si>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</si>
  <si>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</si>
  <si>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</si>
  <si>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</si>
  <si>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</si>
  <si>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</si>
  <si>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</si>
  <si>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</si>
  <si>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</si>
  <si>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</si>
  <si>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</si>
  <si>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</si>
  <si>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</si>
  <si>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</si>
  <si>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</si>
  <si>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</si>
  <si>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</si>
  <si>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</si>
  <si>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</si>
  <si>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</si>
  <si>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</si>
  <si>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</si>
  <si>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</si>
  <si>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</si>
  <si>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</si>
  <si>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</si>
  <si>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</si>
  <si>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</si>
  <si>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</si>
  <si>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</si>
  <si>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</si>
  <si>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</si>
  <si>
    <t>Once the Battle is over, remember to return to the Room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</si>
</sst>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120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D5" sqref="D5"/>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F30" sqref="F3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MindFlayer</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MindFlayer</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130</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120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7</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IF(O7=100,J25,IF(O7=20,J26,IF(O7=12,J27,IF(O7=10,J28,IF(O7=8,J29,IF(O7=6,J30,IF(O7=4,J31,IF(O7="x",J32,"No Dice"))))))))</f>
        <v>3</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22</v>
      </c>
      <c r="O13" s="36">
        <f ca="1">IF(VLOOKUP(N13,Monster[],3,FALSE)=100,J25,IF(VLOOKUP(N13,Monster[],3,FALSE)=20,J26,IF(VLOOKUP(N13,Monster[],3,FALSE)=12,J27,IF(VLOOKUP(N13,Monster[],3,FALSE)=10,J28,IF(VLOOKUP(N13,Monster[],3,FALSE)=8,J29,IF(VLOOKUP(N13,Monster[],3,FALSE)=6,J30,IF(VLOOKUP(N13,Monster[],3,FALSE)=4,J31,IF(VLOOKUP(N13,Monster[],3,FALSE)="x",J32,"No Dice"))))))))</f>
        <v>7</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120</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300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f ca="1">IF(N13="","",RANDBETWEEN(1,100))</f>
        <v>100</v>
      </c>
      <c r="K25" s="77"/>
      <c r="L25" s="77"/>
      <c r="M25" s="77"/>
      <c r="N25" s="77"/>
      <c r="O25" s="77"/>
      <c r="P25" s="77"/>
    </row>
    <row r="26" spans="1:16" x14ac:dyDescent="0.25">
      <c r="A26" s="27"/>
      <c r="B26" s="27"/>
      <c r="C26" s="27"/>
      <c r="D26" s="77"/>
      <c r="E26" s="2">
        <v>18</v>
      </c>
      <c r="F26" s="2">
        <v>42</v>
      </c>
      <c r="G26" s="2">
        <v>12</v>
      </c>
      <c r="H26" s="77"/>
      <c r="I26" s="32">
        <v>20</v>
      </c>
      <c r="J26" s="21">
        <f ca="1">IF(N13="","",RANDBETWEEN(1,20))</f>
        <v>7</v>
      </c>
      <c r="K26" s="77"/>
      <c r="L26" s="77"/>
      <c r="M26" s="77"/>
      <c r="N26" s="77"/>
      <c r="O26" s="77"/>
      <c r="P26" s="77"/>
    </row>
    <row r="27" spans="1:16" x14ac:dyDescent="0.25">
      <c r="A27" s="4"/>
      <c r="B27" s="4"/>
      <c r="C27" s="4"/>
      <c r="D27" s="77"/>
      <c r="E27" s="2">
        <v>19</v>
      </c>
      <c r="F27" s="2">
        <v>45</v>
      </c>
      <c r="G27" s="2">
        <v>12</v>
      </c>
      <c r="H27" s="77"/>
      <c r="I27" s="30">
        <v>12</v>
      </c>
      <c r="J27" s="31">
        <f ca="1">IF(N13="","",RANDBETWEEN(1,12))</f>
        <v>2</v>
      </c>
      <c r="K27" s="77"/>
      <c r="L27" s="77"/>
      <c r="M27" s="77"/>
      <c r="N27" s="77"/>
      <c r="O27" s="77"/>
      <c r="P27" s="77"/>
    </row>
    <row r="28" spans="1:16" x14ac:dyDescent="0.25">
      <c r="A28" s="27"/>
      <c r="B28" s="27"/>
      <c r="C28" s="27"/>
      <c r="D28" s="77"/>
      <c r="E28" s="2">
        <v>20</v>
      </c>
      <c r="F28" s="2">
        <v>48</v>
      </c>
      <c r="G28" s="2">
        <v>12</v>
      </c>
      <c r="H28" s="77"/>
      <c r="I28" s="32">
        <v>10</v>
      </c>
      <c r="J28" s="21">
        <f ca="1">IF(N13="","",RANDBETWEEN(1,10))</f>
        <v>7</v>
      </c>
      <c r="K28" s="77"/>
      <c r="L28" s="77"/>
      <c r="M28" s="77"/>
      <c r="N28" s="77"/>
      <c r="O28" s="77"/>
      <c r="P28" s="77"/>
    </row>
    <row r="29" spans="1:16" x14ac:dyDescent="0.25">
      <c r="A29" s="4"/>
      <c r="B29" s="4"/>
      <c r="C29" s="4"/>
      <c r="D29" s="77"/>
      <c r="E29" s="2">
        <v>21</v>
      </c>
      <c r="F29" s="2">
        <v>52</v>
      </c>
      <c r="G29" s="2">
        <v>20</v>
      </c>
      <c r="H29" s="77"/>
      <c r="I29" s="30">
        <v>8</v>
      </c>
      <c r="J29" s="31">
        <f ca="1">IF(N13="","",RANDBETWEEN(1,8))</f>
        <v>8</v>
      </c>
      <c r="K29" s="77"/>
      <c r="L29" s="77"/>
      <c r="M29" s="77"/>
      <c r="N29" s="77"/>
      <c r="O29" s="77"/>
      <c r="P29" s="77"/>
    </row>
    <row r="30" spans="1:16" x14ac:dyDescent="0.25">
      <c r="A30" s="27"/>
      <c r="B30" s="27"/>
      <c r="C30" s="27"/>
      <c r="D30" s="77"/>
      <c r="E30" s="2">
        <v>22</v>
      </c>
      <c r="F30" s="2">
        <v>56</v>
      </c>
      <c r="G30" s="2">
        <v>20</v>
      </c>
      <c r="H30" s="77"/>
      <c r="I30" s="32">
        <v>6</v>
      </c>
      <c r="J30" s="21">
        <f ca="1">IF(N13="","",RANDBETWEEN(1,6))</f>
        <v>3</v>
      </c>
      <c r="K30" s="77"/>
      <c r="L30" s="77"/>
      <c r="M30" s="78"/>
      <c r="N30" s="78"/>
      <c r="O30" s="77"/>
      <c r="P30" s="77"/>
    </row>
    <row r="31" spans="1:16" x14ac:dyDescent="0.25">
      <c r="A31" s="4"/>
      <c r="B31" s="4"/>
      <c r="C31" s="4"/>
      <c r="D31" s="77"/>
      <c r="E31" s="2">
        <v>23</v>
      </c>
      <c r="F31" s="2">
        <v>60</v>
      </c>
      <c r="G31" s="2">
        <v>20</v>
      </c>
      <c r="H31" s="77"/>
      <c r="I31" s="30">
        <v>4</v>
      </c>
      <c r="J31" s="31">
        <f ca="1">IF(N13="","",RANDBETWEEN(1,4))</f>
        <v>1</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32</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2018-10-25T05:23:37Z</dcterms:modified>
</cp:coreProperties>
</file>