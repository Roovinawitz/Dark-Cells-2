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1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Chronos\Documents\GitHub\Dark-Cells-2\"/>
    </mc:Choice>
  </mc:AlternateContent>
  <xr:revisionPtr revIDLastSave="0" documentId="10_ncr:100000_{6E0905D6-B30E-460A-8F11-856F0E6CEEC0}" xr6:coauthVersionLast="31" xr6:coauthVersionMax="31" xr10:uidLastSave="{00000000-0000-0000-0000-000000000000}"/>
  <bookViews>
    <workbookView xWindow="0" yWindow="0" windowWidth="25200" windowHeight="11850" firstSheet="1" activeTab="1" xr2:uid="{00000000-000D-0000-FFFF-FFFF00000000}"/>
  </bookViews>
  <sheets>
    <sheet name="Documentation" sheetId="6" state="hidden" r:id="rId1"/>
    <sheet name="Goblin" sheetId="7"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Secret Information" sheetId="24" state="hidden" r:id="rId12"/>
    <sheet name="Battle System" sheetId="4" state="hidden" r:id="rId13"/>
    <sheet name="Win Scenarios" sheetId="27" state="hidden" r:id="rId14"/>
  </sheets>
  <externalReferences>
    <externalReference r:id="rId15"/>
  </externalReferences>
  <definedNames>
    <definedName name="Basehealth">'Battle System'!$L$7</definedName>
    <definedName name="basexp">'Battle System'!$F$4</definedName>
    <definedName name="Damage">'Battle System'!$J$4</definedName>
    <definedName name="Damage_to_Monster">'Battle System'!$K$4</definedName>
    <definedName name="Dmg">'Battle System'!$A$5:$A$172</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System'!$B$5:$B$172</definedName>
    <definedName name="monster_roll">'Battle System'!$O$13</definedName>
    <definedName name="playerroll">'Battle System'!$J$8</definedName>
    <definedName name="Slicer_Dmg_die">#N/A</definedName>
    <definedName name="solver_adj" localSheetId="12" hidden="1">'Battle System'!$J$8</definedName>
    <definedName name="solver_cvg" localSheetId="12" hidden="1">0.0001</definedName>
    <definedName name="solver_drv" localSheetId="12" hidden="1">1</definedName>
    <definedName name="solver_eng" localSheetId="12" hidden="1">3</definedName>
    <definedName name="solver_est" localSheetId="12" hidden="1">1</definedName>
    <definedName name="solver_itr" localSheetId="12" hidden="1">2147483647</definedName>
    <definedName name="solver_lhs0" localSheetId="12" hidden="1">'Battle System'!$O$7</definedName>
    <definedName name="solver_lhs1" localSheetId="12" hidden="1">'Battle System'!$J$3</definedName>
    <definedName name="solver_lhs10" localSheetId="12" hidden="1">'Battle System'!$K$4</definedName>
    <definedName name="solver_lhs11" localSheetId="12" hidden="1">'Battle System'!$K$4</definedName>
    <definedName name="solver_lhs2" localSheetId="12" hidden="1">'Battle System'!$J$3</definedName>
    <definedName name="solver_lhs3" localSheetId="12" hidden="1">'Battle System'!$J$3</definedName>
    <definedName name="solver_lhs4" localSheetId="12" hidden="1">'Battle System'!$J$3</definedName>
    <definedName name="solver_lhs5" localSheetId="12" hidden="1">'Battle System'!$J$3</definedName>
    <definedName name="solver_lhs6" localSheetId="12" hidden="1">'Battle System'!$K$4</definedName>
    <definedName name="solver_lhs7" localSheetId="12" hidden="1">'Battle System'!$K$4</definedName>
    <definedName name="solver_lhs8" localSheetId="12" hidden="1">'Battle System'!$K$4</definedName>
    <definedName name="solver_lhs9" localSheetId="12" hidden="1">'Battle System'!$K$4</definedName>
    <definedName name="solver_mip" localSheetId="12" hidden="1">2147483647</definedName>
    <definedName name="solver_mni" localSheetId="12" hidden="1">30</definedName>
    <definedName name="solver_mrt" localSheetId="12" hidden="1">0.075</definedName>
    <definedName name="solver_msl" localSheetId="12" hidden="1">2</definedName>
    <definedName name="solver_neg" localSheetId="12" hidden="1">1</definedName>
    <definedName name="solver_nod" localSheetId="12" hidden="1">2147483647</definedName>
    <definedName name="solver_num" localSheetId="12" hidden="1">0</definedName>
    <definedName name="solver_nwt" localSheetId="12" hidden="1">1</definedName>
    <definedName name="solver_opt" localSheetId="12" hidden="1">'Battle System'!$K$3</definedName>
    <definedName name="solver_pre" localSheetId="12" hidden="1">0.000001</definedName>
    <definedName name="solver_rbv" localSheetId="12" hidden="1">1</definedName>
    <definedName name="solver_rel0" localSheetId="12" hidden="1">2</definedName>
    <definedName name="solver_rel1" localSheetId="12" hidden="1">3</definedName>
    <definedName name="solver_rel10" localSheetId="12" hidden="1">3</definedName>
    <definedName name="solver_rel11" localSheetId="12" hidden="1">3</definedName>
    <definedName name="solver_rel2" localSheetId="12" hidden="1">3</definedName>
    <definedName name="solver_rel3" localSheetId="12" hidden="1">3</definedName>
    <definedName name="solver_rel4" localSheetId="12" hidden="1">3</definedName>
    <definedName name="solver_rel5" localSheetId="12" hidden="1">3</definedName>
    <definedName name="solver_rel6" localSheetId="12" hidden="1">3</definedName>
    <definedName name="solver_rel7" localSheetId="12" hidden="1">3</definedName>
    <definedName name="solver_rel8" localSheetId="12" hidden="1">3</definedName>
    <definedName name="solver_rel9" localSheetId="12" hidden="1">3</definedName>
    <definedName name="solver_rhs0" localSheetId="12" hidden="1">"="</definedName>
    <definedName name="solver_rhs1" localSheetId="12" hidden="1">Damage</definedName>
    <definedName name="solver_rhs10" localSheetId="12" hidden="1">0</definedName>
    <definedName name="solver_rhs11" localSheetId="12" hidden="1">0</definedName>
    <definedName name="solver_rhs2" localSheetId="12" hidden="1">Damage</definedName>
    <definedName name="solver_rhs3" localSheetId="12" hidden="1">Damage</definedName>
    <definedName name="solver_rhs4" localSheetId="12" hidden="1">Damage</definedName>
    <definedName name="solver_rhs5" localSheetId="12" hidden="1">Damage</definedName>
    <definedName name="solver_rhs6" localSheetId="12" hidden="1">0</definedName>
    <definedName name="solver_rhs7" localSheetId="12" hidden="1">0</definedName>
    <definedName name="solver_rhs8" localSheetId="12" hidden="1">0</definedName>
    <definedName name="solver_rhs9" localSheetId="12" hidden="1">0</definedName>
    <definedName name="solver_rlx" localSheetId="12" hidden="1">2</definedName>
    <definedName name="solver_rsd" localSheetId="12" hidden="1">0</definedName>
    <definedName name="solver_scl" localSheetId="12" hidden="1">1</definedName>
    <definedName name="solver_sho" localSheetId="12" hidden="1">2</definedName>
    <definedName name="solver_ssz" localSheetId="12" hidden="1">100</definedName>
    <definedName name="solver_tim" localSheetId="12" hidden="1">2147483647</definedName>
    <definedName name="solver_tol" localSheetId="12" hidden="1">0.01</definedName>
    <definedName name="solver_typ" localSheetId="12" hidden="1">3</definedName>
    <definedName name="solver_val" localSheetId="12" hidden="1">0</definedName>
    <definedName name="solver_ver" localSheetId="12" hidden="1">3</definedName>
    <definedName name="XP">'Battle System'!$C$5:$C$500</definedName>
    <definedName name="xpgiven">'Battle System'!$O$15</definedName>
  </definedNames>
  <calcPr calcId="179017" iterate="1"/>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V11" i="5" l="1"/>
  <c r="V7" i="5"/>
  <c r="J31" i="4" l="1"/>
  <c r="J32" i="4"/>
  <c r="J30" i="4"/>
  <c r="J29" i="4"/>
  <c r="J28" i="4"/>
  <c r="J27" i="4"/>
  <c r="J26" i="4"/>
  <c r="J25" i="4"/>
  <c r="K28" i="8" l="1"/>
  <c r="K28" i="9"/>
  <c r="K28" i="11"/>
  <c r="K28" i="12"/>
  <c r="K28" i="13"/>
  <c r="K28" i="14"/>
  <c r="K28" i="15"/>
  <c r="K28" i="16"/>
  <c r="K28" i="7"/>
  <c r="E4" i="4" l="1"/>
  <c r="E15" i="5" l="1"/>
  <c r="C14" i="5" l="1"/>
  <c r="D7" i="5" l="1"/>
  <c r="B7" i="5" s="1"/>
  <c r="L22" i="4"/>
  <c r="O15" i="4" s="1"/>
  <c r="M7" i="4" l="1"/>
  <c r="O7" i="4" s="1"/>
  <c r="C27" i="16"/>
  <c r="C27" i="15"/>
  <c r="C27" i="14"/>
  <c r="C27" i="12"/>
  <c r="C27" i="7"/>
  <c r="C27" i="13"/>
  <c r="C27" i="11"/>
  <c r="C27" i="9"/>
  <c r="C27" i="8"/>
  <c r="J9" i="4"/>
  <c r="J6" i="4"/>
  <c r="N7" i="4" l="1"/>
  <c r="K4" i="4"/>
  <c r="J4" i="4" l="1"/>
  <c r="J22" i="4" l="1"/>
  <c r="O14" i="4" s="1"/>
  <c r="K3" i="4" s="1"/>
  <c r="J8" i="4" l="1"/>
  <c r="J3" i="4" s="1"/>
  <c r="O24" i="5" s="1"/>
  <c r="K22" i="4"/>
  <c r="O13" i="4" s="1"/>
  <c r="J7" i="4" s="1"/>
  <c r="D27" i="11"/>
  <c r="D27" i="9"/>
  <c r="D27" i="15"/>
  <c r="D27" i="12"/>
  <c r="D27" i="16"/>
  <c r="D27" i="13"/>
  <c r="D27" i="7"/>
  <c r="D27" i="14"/>
  <c r="D27" i="8"/>
</calcChain>
</file>

<file path=xl/sharedStrings.xml><?xml version="1.0" encoding="utf-8"?>
<sst xmlns="http://schemas.openxmlformats.org/spreadsheetml/2006/main" count="238" uniqueCount="130">
  <si>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</si>
  <si>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</si>
  <si>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</si>
  <si>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</si>
  <si>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</si>
  <si>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</si>
  <si>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</si>
  <si>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</si>
  <si>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</si>
  <si>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</si>
  <si>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</si>
  <si>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</si>
  <si>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</si>
  <si>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</si>
  <si>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</si>
  <si>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</si>
  <si>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</si>
  <si>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</si>
  <si>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</si>
  <si>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</si>
  <si>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</si>
  <si>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</si>
  <si>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</si>
  <si>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</si>
  <si>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</si>
  <si>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</si>
  <si>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</si>
  <si>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</si>
  <si>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</si>
  <si>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</si>
  <si>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</si>
  <si>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Current xp:</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</si>
  <si>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</si>
  <si>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</si>
  <si>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</si>
  <si>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</si>
  <si>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</si>
  <si>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</si>
  <si>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</si>
  <si>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</si>
  <si>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</si>
  <si>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</si>
  <si>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</si>
  <si>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</si>
  <si>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</si>
  <si>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</si>
  <si>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</si>
  <si>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</si>
  <si>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</si>
  <si>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</si>
  <si>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</si>
  <si>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</si>
  <si>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</si>
  <si>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</si>
  <si>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</si>
  <si>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</si>
  <si>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</si>
  <si>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</si>
  <si>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</si>
  <si>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</si>
  <si>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</si>
  <si>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</si>
  <si>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</si>
  <si>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</si>
  <si>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</si>
  <si>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</si>
  <si>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</si>
  <si>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Sum of Health</t>
  </si>
  <si>
    <t>Sum of Dmg die</t>
  </si>
  <si>
    <t>Sum of Exp</t>
  </si>
  <si>
    <t>Row Labels</t>
  </si>
  <si>
    <t>Grand Total</t>
  </si>
  <si>
    <t>You shouldn't be seeing this</t>
  </si>
  <si>
    <t>Stardate 00000000</t>
  </si>
  <si>
    <t>Created by Thayer, Kevin I on 12/5/2017</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</si>
  <si>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</si>
  <si>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</si>
  <si>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</si>
  <si>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</si>
  <si>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</si>
  <si>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</si>
  <si>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</si>
  <si>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Goblin Loses</t>
  </si>
  <si>
    <t>Orc Loses</t>
  </si>
  <si>
    <t>Ogre Lose</t>
  </si>
  <si>
    <t>Kraken Loses</t>
  </si>
  <si>
    <t>Warlock Lose</t>
  </si>
  <si>
    <t>MindFlayer Loses</t>
  </si>
  <si>
    <t>Dragon Loses</t>
  </si>
  <si>
    <t>Damage to Player</t>
  </si>
  <si>
    <t>Damage to Monster</t>
  </si>
  <si>
    <t>Damage needed to defeat</t>
  </si>
  <si>
    <t>To reset the entire workbook</t>
  </si>
  <si>
    <t>crtl+m</t>
  </si>
  <si>
    <t>Tips and Tricks</t>
  </si>
  <si>
    <t>"Dark Cells"!:2</t>
  </si>
  <si>
    <t>NA</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</si>
  <si>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</si>
  <si>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</si>
  <si>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</si>
  <si>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</si>
  <si>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</si>
  <si>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</si>
  <si>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</si>
  <si>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</si>
  <si>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</si>
  <si>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</si>
  <si>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</si>
  <si>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</si>
  <si>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</si>
  <si>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</si>
  <si>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</si>
  <si>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</si>
  <si>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</si>
  <si>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</si>
  <si>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</si>
  <si>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</si>
  <si>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</si>
  <si>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</si>
  <si>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</si>
  <si>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</si>
  <si>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</si>
  <si>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</si>
  <si>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</si>
  <si>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</si>
  <si>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</si>
  <si>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</si>
  <si>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</si>
  <si>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Replaced the original 16 rooms with 9 present rooms that the player randomly moves between</t>
  </si>
  <si>
    <t>Added a room type where the player can fight themselves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</si>
</sst>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sz val="24"/>
      <color theme="0"/>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s>
  <fills count="30">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indexed="22"/>
        <bgColor indexed="24"/>
      </patternFill>
    </fill>
    <fill>
      <patternFill patternType="solid">
        <fgColor indexed="22"/>
        <bgColor indexed="7"/>
      </patternFill>
    </fill>
    <fill>
      <patternFill patternType="solid">
        <fgColor theme="1" tint="4.9989318521683403E-2"/>
        <bgColor indexed="2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100">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0" fillId="0" borderId="0" xfId="0" applyNumberFormat="1"/>
    <xf numFmtId="0" fontId="0" fillId="0" borderId="0" xfId="0" pivotButton="1"/>
    <xf numFmtId="0" fontId="0" fillId="0" borderId="0" xfId="0" applyAlignment="1">
      <alignment horizontal="left"/>
    </xf>
    <xf numFmtId="0" fontId="0" fillId="22" borderId="0" xfId="0" applyFill="1"/>
    <xf numFmtId="0" fontId="5" fillId="4" borderId="0" xfId="0" applyFont="1" applyFill="1" applyAlignment="1">
      <alignment horizontal="left"/>
    </xf>
    <xf numFmtId="0" fontId="5" fillId="4" borderId="0" xfId="0" applyNumberFormat="1" applyFont="1" applyFill="1"/>
    <xf numFmtId="0" fontId="0" fillId="0" borderId="0" xfId="0" applyFill="1" applyBorder="1" applyAlignment="1"/>
    <xf numFmtId="0" fontId="0" fillId="0" borderId="13" xfId="0" applyFill="1" applyBorder="1" applyAlignment="1"/>
    <xf numFmtId="0" fontId="0" fillId="0" borderId="14" xfId="0" applyFill="1" applyBorder="1" applyAlignment="1"/>
    <xf numFmtId="0" fontId="15" fillId="24" borderId="0" xfId="0" applyFont="1" applyFill="1" applyBorder="1" applyAlignment="1">
      <alignment horizontal="left"/>
    </xf>
    <xf numFmtId="0" fontId="16" fillId="24" borderId="14" xfId="0" applyFont="1" applyFill="1" applyBorder="1" applyAlignment="1">
      <alignment horizontal="left"/>
    </xf>
    <xf numFmtId="0" fontId="15" fillId="24" borderId="13" xfId="0" applyFont="1" applyFill="1" applyBorder="1" applyAlignment="1">
      <alignment horizontal="left"/>
    </xf>
    <xf numFmtId="0" fontId="0" fillId="25" borderId="0" xfId="0" applyFill="1" applyBorder="1" applyAlignment="1"/>
    <xf numFmtId="0" fontId="18" fillId="0" borderId="0" xfId="0" applyFont="1" applyFill="1" applyBorder="1" applyAlignment="1">
      <alignment vertical="top" wrapText="1"/>
    </xf>
    <xf numFmtId="0" fontId="7" fillId="13" borderId="0" xfId="0" applyFont="1" applyFill="1" applyBorder="1" applyAlignment="1">
      <alignment horizontal="left" vertical="top"/>
    </xf>
    <xf numFmtId="0" fontId="0" fillId="19" borderId="15" xfId="0" applyFill="1" applyBorder="1"/>
    <xf numFmtId="0" fontId="0" fillId="19" borderId="16" xfId="0" applyFill="1" applyBorder="1"/>
    <xf numFmtId="0" fontId="14" fillId="26" borderId="12" xfId="0" applyFont="1" applyFill="1" applyBorder="1" applyAlignment="1">
      <alignment horizontal="left"/>
    </xf>
    <xf numFmtId="0" fontId="17" fillId="26" borderId="12" xfId="0" applyFont="1" applyFill="1" applyBorder="1" applyAlignment="1">
      <alignment horizontal="right"/>
    </xf>
    <xf numFmtId="0" fontId="14" fillId="26" borderId="6" xfId="0" applyFont="1" applyFill="1" applyBorder="1" applyAlignment="1">
      <alignment horizontal="left"/>
    </xf>
    <xf numFmtId="0" fontId="17" fillId="26" borderId="6" xfId="0" applyFont="1" applyFill="1" applyBorder="1" applyAlignment="1">
      <alignment horizontal="right"/>
    </xf>
    <xf numFmtId="0" fontId="5" fillId="5" borderId="1" xfId="0" applyFont="1" applyFill="1" applyBorder="1"/>
    <xf numFmtId="0" fontId="0" fillId="8" borderId="0" xfId="0" applyFill="1"/>
    <xf numFmtId="0" fontId="1" fillId="27" borderId="0" xfId="0" applyFont="1" applyFill="1" applyBorder="1"/>
    <xf numFmtId="0" fontId="0" fillId="27" borderId="0" xfId="0" applyFill="1" applyAlignment="1">
      <alignment wrapText="1"/>
    </xf>
    <xf numFmtId="0" fontId="0" fillId="27" borderId="0" xfId="0" applyFill="1" applyBorder="1" applyAlignment="1">
      <alignment wrapText="1"/>
    </xf>
    <xf numFmtId="0" fontId="0" fillId="27" borderId="0" xfId="0" applyFont="1" applyFill="1" applyBorder="1"/>
    <xf numFmtId="0" fontId="0" fillId="27" borderId="0" xfId="0" applyFill="1"/>
    <xf numFmtId="0" fontId="0" fillId="27" borderId="0" xfId="0" applyFill="1" applyBorder="1"/>
    <xf numFmtId="0" fontId="0" fillId="27" borderId="0" xfId="0" applyFill="1" applyBorder="1" applyAlignment="1"/>
    <xf numFmtId="0" fontId="0" fillId="27" borderId="0" xfId="0" applyFill="1" applyBorder="1" applyAlignment="1">
      <alignment horizontal="center"/>
    </xf>
    <xf numFmtId="0" fontId="5" fillId="28" borderId="0" xfId="0" applyFont="1" applyFill="1"/>
    <xf numFmtId="0" fontId="5" fillId="29" borderId="0" xfId="0" applyFont="1" applyFill="1"/>
    <xf numFmtId="0" fontId="19" fillId="0" borderId="0" xfId="1" applyFont="1"/>
    <xf numFmtId="0" fontId="20" fillId="0" borderId="0" xfId="0" applyFont="1"/>
    <xf numFmtId="0" fontId="21" fillId="19" borderId="0" xfId="0" applyFont="1" applyFill="1"/>
    <xf numFmtId="0" fontId="22" fillId="19" borderId="0" xfId="0" applyFont="1" applyFill="1" applyAlignment="1">
      <alignment horizontal="center" vertical="center"/>
    </xf>
    <xf numFmtId="0" fontId="0" fillId="11" borderId="0" xfId="0" applyFill="1" applyAlignment="1">
      <alignment horizontal="center" vertical="center"/>
    </xf>
    <xf numFmtId="0" fontId="0" fillId="4" borderId="0" xfId="0" applyFill="1" applyAlignment="1">
      <alignment horizontal="center" vertical="center"/>
    </xf>
    <xf numFmtId="0" fontId="0" fillId="12" borderId="0" xfId="0" applyFill="1" applyAlignment="1">
      <alignment horizontal="center"/>
    </xf>
    <xf numFmtId="0" fontId="10" fillId="11" borderId="0" xfId="0" applyFont="1" applyFill="1" applyAlignment="1">
      <alignment horizontal="center"/>
    </xf>
    <xf numFmtId="0" fontId="9" fillId="4" borderId="0" xfId="0" applyFont="1" applyFill="1" applyAlignment="1">
      <alignment horizontal="center" vertical="center"/>
    </xf>
    <xf numFmtId="0" fontId="0" fillId="4" borderId="0" xfId="0" applyFill="1" applyAlignment="1">
      <alignment horizont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13" fillId="23" borderId="0" xfId="0" applyFont="1" applyFill="1" applyAlignment="1">
      <alignment horizontal="center"/>
    </xf>
    <xf numFmtId="0" fontId="5" fillId="23"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2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fill>
        <patternFill>
          <bgColor theme="0"/>
        </patternFill>
      </fill>
    </dxf>
    <dxf>
      <font>
        <color theme="0"/>
      </font>
    </dxf>
    <dxf>
      <font>
        <color theme="0"/>
      </font>
    </dxf>
    <dxf>
      <font>
        <color theme="4" tint="0.79998168889431442"/>
      </font>
    </dxf>
    <dxf>
      <font>
        <color theme="4" tint="0.79998168889431442"/>
      </font>
    </dxf>
    <dxf>
      <fill>
        <patternFill>
          <bgColor theme="4" tint="0.79998168889431442"/>
        </patternFill>
      </fill>
    </dxf>
    <dxf>
      <fill>
        <patternFill>
          <bgColor theme="4" tint="0.79998168889431442"/>
        </patternFill>
      </fill>
    </dxf>
    <dxf>
      <font>
        <color theme="4" tint="0.79998168889431442"/>
      </font>
    </dxf>
    <dxf>
      <fill>
        <patternFill patternType="solid">
          <bgColor theme="4" tint="0.79998168889431442"/>
        </patternFill>
      </fill>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34</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FB-4A78-B57F-D22C7F732CDB}"/>
              </c:ext>
            </c:extLst>
          </c:dPt>
          <c:dLbls>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0</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11</xdr:row>
          <xdr:rowOff>28575</xdr:rowOff>
        </xdr:from>
        <xdr:to>
          <xdr:col>22</xdr:col>
          <xdr:colOff>552450</xdr:colOff>
          <xdr:row>15</xdr:row>
          <xdr:rowOff>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20</xdr:row>
          <xdr:rowOff>85725</xdr:rowOff>
        </xdr:from>
        <xdr:to>
          <xdr:col>22</xdr:col>
          <xdr:colOff>552450</xdr:colOff>
          <xdr:row>23</xdr:row>
          <xdr:rowOff>180975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8</xdr:col>
      <xdr:colOff>257175</xdr:colOff>
      <xdr:row>2</xdr:row>
      <xdr:rowOff>28575</xdr:rowOff>
    </xdr:from>
    <xdr:to>
      <xdr:col>12</xdr:col>
      <xdr:colOff>476250</xdr:colOff>
      <xdr:row>15</xdr:row>
      <xdr:rowOff>76200</xdr:rowOff>
    </xdr:to>
    <mc:AlternateContent xmlns:mc="http://schemas.openxmlformats.org/markup-compatibility/2006" xmlns:a14="http://schemas.microsoft.com/office/drawing/2010/main">
      <mc:Choice Requires="a14">
        <xdr:graphicFrame macro="">
          <xdr:nvGraphicFramePr>
            <xdr:cNvPr id="3" name="Dmg die">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Dmg die"/>
            </a:graphicData>
          </a:graphic>
        </xdr:graphicFrame>
      </mc:Choice>
      <mc:Fallback xmlns="">
        <xdr:sp macro="" textlink="">
          <xdr:nvSpPr>
            <xdr:cNvPr id="0" name=""/>
            <xdr:cNvSpPr>
              <a:spLocks noTextEdit="1"/>
            </xdr:cNvSpPr>
          </xdr:nvSpPr>
          <xdr:spPr>
            <a:xfrm>
              <a:off x="4752975" y="409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yer, Kevin I" refreshedDate="43074.555485300923" createdVersion="6" refreshedVersion="6" minRefreshableVersion="3" recordCount="9" xr:uid="{00000000-000A-0000-FFFF-FFFF00000000}">
  <cacheSource type="worksheet">
    <worksheetSource name="Monster"/>
  </cacheSource>
  <cacheFields count="4">
    <cacheField name="Description" numFmtId="0">
      <sharedItems count="9">
        <s v="Goblin"/>
        <s v="Orc"/>
        <s v="Ogre"/>
        <s v="DONKEH"/>
        <s v="Kraken"/>
        <s v="Warlock"/>
        <s v="MindFlayer"/>
        <s v="Dragon"/>
        <s v="Player"/>
      </sharedItems>
    </cacheField>
    <cacheField name="Health" numFmtId="0">
      <sharedItems containsSemiMixedTypes="0" containsString="0" containsNumber="1" containsInteger="1" minValue="5" maxValue="250" count="9">
        <n v="5"/>
        <n v="25"/>
        <n v="35"/>
        <n v="65"/>
        <n v="80"/>
        <n v="50"/>
        <n v="120"/>
        <n v="250"/>
        <n v="34"/>
      </sharedItems>
    </cacheField>
    <cacheField name="Dmg die" numFmtId="0">
      <sharedItems containsSemiMixedTypes="0" containsString="0" containsNumber="1" containsInteger="1" minValue="4" maxValue="20" count="5">
        <n v="4"/>
        <n v="6"/>
        <n v="8"/>
        <n v="12"/>
        <n v="20"/>
      </sharedItems>
    </cacheField>
    <cacheField name="Exp" numFmtId="0">
      <sharedItems containsSemiMixedTypes="0" containsString="0" containsNumber="1" containsInteger="1" minValue="0" maxValue="500" count="9">
        <n v="10"/>
        <n v="20"/>
        <n v="35"/>
        <n v="420"/>
        <n v="100"/>
        <n v="150"/>
        <n v="300"/>
        <n v="500"/>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
  <r>
    <x v="0"/>
    <x v="0"/>
    <x v="0"/>
    <x v="0"/>
  </r>
  <r>
    <x v="1"/>
    <x v="1"/>
    <x v="1"/>
    <x v="1"/>
  </r>
  <r>
    <x v="2"/>
    <x v="2"/>
    <x v="1"/>
    <x v="2"/>
  </r>
  <r>
    <x v="3"/>
    <x v="3"/>
    <x v="2"/>
    <x v="3"/>
  </r>
  <r>
    <x v="4"/>
    <x v="4"/>
    <x v="3"/>
    <x v="4"/>
  </r>
  <r>
    <x v="5"/>
    <x v="5"/>
    <x v="4"/>
    <x v="5"/>
  </r>
  <r>
    <x v="6"/>
    <x v="6"/>
    <x v="4"/>
    <x v="6"/>
  </r>
  <r>
    <x v="7"/>
    <x v="7"/>
    <x v="4"/>
    <x v="7"/>
  </r>
  <r>
    <x v="8"/>
    <x v="8"/>
    <x v="1"/>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13" firstHeaderRow="0" firstDataRow="1" firstDataCol="1"/>
  <pivotFields count="4">
    <pivotField axis="axisRow" showAll="0">
      <items count="10">
        <item x="8"/>
        <item x="0"/>
        <item x="1"/>
        <item x="2"/>
        <item x="5"/>
        <item x="4"/>
        <item x="6"/>
        <item x="7"/>
        <item x="3"/>
        <item t="default"/>
      </items>
    </pivotField>
    <pivotField dataField="1" showAll="0">
      <items count="10">
        <item x="0"/>
        <item x="1"/>
        <item x="8"/>
        <item x="2"/>
        <item x="5"/>
        <item x="3"/>
        <item x="4"/>
        <item x="6"/>
        <item x="7"/>
        <item t="default"/>
      </items>
    </pivotField>
    <pivotField dataField="1" showAll="0">
      <items count="6">
        <item x="0"/>
        <item x="1"/>
        <item x="2"/>
        <item x="3"/>
        <item x="4"/>
        <item t="default"/>
      </items>
    </pivotField>
    <pivotField dataField="1" showAll="0">
      <items count="10">
        <item x="8"/>
        <item x="0"/>
        <item x="1"/>
        <item x="2"/>
        <item x="4"/>
        <item x="5"/>
        <item x="6"/>
        <item x="3"/>
        <item x="7"/>
        <item t="default"/>
      </items>
    </pivotField>
  </pivotFields>
  <rowFields count="1">
    <field x="0"/>
  </rowFields>
  <rowItems count="10">
    <i>
      <x/>
    </i>
    <i>
      <x v="1"/>
    </i>
    <i>
      <x v="2"/>
    </i>
    <i>
      <x v="3"/>
    </i>
    <i>
      <x v="4"/>
    </i>
    <i>
      <x v="5"/>
    </i>
    <i>
      <x v="6"/>
    </i>
    <i>
      <x v="7"/>
    </i>
    <i>
      <x v="8"/>
    </i>
    <i t="grand">
      <x/>
    </i>
  </rowItems>
  <colFields count="1">
    <field x="-2"/>
  </colFields>
  <colItems count="3">
    <i>
      <x/>
    </i>
    <i i="1">
      <x v="1"/>
    </i>
    <i i="2">
      <x v="2"/>
    </i>
  </colItems>
  <dataFields count="3">
    <dataField name="Sum of Exp" fld="3" baseField="0" baseItem="0"/>
    <dataField name="Sum of Dmg die" fld="2" baseField="0" baseItem="0"/>
    <dataField name="Sum of Health" fld="1" baseField="0" baseItem="0"/>
  </dataFields>
  <formats count="10">
    <format dxfId="21">
      <pivotArea dataOnly="0" grandRow="1" fieldPosition="0"/>
    </format>
    <format dxfId="20">
      <pivotArea dataOnly="0" grandRow="1" fieldPosition="0"/>
    </format>
    <format dxfId="19">
      <pivotArea grandRow="1" outline="0" collapsedLevelsAreSubtotals="1" fieldPosition="0"/>
    </format>
    <format dxfId="18">
      <pivotArea dataOnly="0" labelOnly="1" grandRow="1" outline="0" fieldPosition="0"/>
    </format>
    <format dxfId="17">
      <pivotArea grandRow="1" outline="0" collapsedLevelsAreSubtotals="1" fieldPosition="0"/>
    </format>
    <format dxfId="16">
      <pivotArea dataOnly="0" labelOnly="1" grandRow="1" outline="0" fieldPosition="0"/>
    </format>
    <format dxfId="15">
      <pivotArea grandRow="1" outline="0" collapsedLevelsAreSubtotals="1" fieldPosition="0"/>
    </format>
    <format dxfId="14">
      <pivotArea dataOnly="0" labelOnly="1" grandRow="1" outline="0" fieldPosition="0"/>
    </format>
    <format dxfId="13">
      <pivotArea grandRow="1" outline="0" collapsedLevelsAreSubtotals="1" fieldPosition="0"/>
    </format>
    <format dxfId="12">
      <pivotArea dataOnly="0" labelOnly="1" grandRow="1" outline="0"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mg_die" xr10:uid="{00000000-0013-0000-FFFF-FFFF01000000}" sourceName="Dmg die">
  <pivotTables>
    <pivotTable tabId="24" name="PivotTable1"/>
  </pivotTables>
  <data>
    <tabular pivotCacheId="1">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mg die" xr10:uid="{00000000-0014-0000-FFFF-FFFF01000000}" cache="Slicer_Dmg_die" caption="Dmg die"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5.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1"/>
  <sheetViews>
    <sheetView workbookViewId="0">
      <selection activeCell="B19" sqref="B19"/>
    </sheetView>
  </sheetViews>
  <sheetFormatPr defaultRowHeight="15" x14ac:dyDescent="0.25"/>
  <cols>
    <col min="1" max="1" width="45.28515625" bestFit="1" customWidth="1"/>
    <col min="2" max="2" width="93.140625" bestFit="1" customWidth="1"/>
  </cols>
  <sheetData>
    <row r="1" spans="1:2" ht="34.5" x14ac:dyDescent="0.45">
      <c r="A1" s="83" t="s">
        <v>95</v>
      </c>
    </row>
    <row r="3" spans="1:2" ht="15.75" x14ac:dyDescent="0.25">
      <c r="A3" s="12" t="s">
        <v>29</v>
      </c>
      <c r="B3" s="13" t="s">
        <v>28</v>
      </c>
    </row>
    <row r="4" spans="1:2" ht="15.75" x14ac:dyDescent="0.25">
      <c r="A4" s="12" t="s">
        <v>27</v>
      </c>
      <c r="B4" s="14" t="s">
        <v>73</v>
      </c>
    </row>
    <row r="5" spans="1:2" ht="45" x14ac:dyDescent="0.25">
      <c r="A5" s="12" t="s">
        <v>26</v>
      </c>
      <c r="B5" s="15" t="s">
        <v>25</v>
      </c>
    </row>
    <row r="6" spans="1:2" ht="60" x14ac:dyDescent="0.25">
      <c r="A6" s="12" t="s">
        <v>24</v>
      </c>
      <c r="B6" s="6" t="s">
        <v>106</v>
      </c>
    </row>
    <row r="7" spans="1:2" ht="15.75" x14ac:dyDescent="0.25">
      <c r="A7" s="64" t="s">
        <v>92</v>
      </c>
      <c r="B7" t="s">
        <v>93</v>
      </c>
    </row>
    <row r="8" spans="1:2" ht="15.75" x14ac:dyDescent="0.25">
      <c r="A8" s="64" t="s">
        <v>94</v>
      </c>
      <c r="B8" t="s">
        <v>127</v>
      </c>
    </row>
    <row r="11" spans="1:2" x14ac:dyDescent="0.25">
      <c r="B11" t="s">
        <v>100</v>
      </c>
    </row>
    <row r="12" spans="1:2" x14ac:dyDescent="0.25">
      <c r="B12" t="s">
        <v>101</v>
      </c>
    </row>
    <row r="13" spans="1:2" x14ac:dyDescent="0.25">
      <c r="B13" t="s">
        <v>103</v>
      </c>
    </row>
    <row r="14" spans="1:2" x14ac:dyDescent="0.25">
      <c r="B14" t="s">
        <v>104</v>
      </c>
    </row>
    <row r="15" spans="1:2" x14ac:dyDescent="0.25">
      <c r="B15" t="s">
        <v>105</v>
      </c>
    </row>
    <row r="16" spans="1:2" x14ac:dyDescent="0.25">
      <c r="B16" t="s">
        <v>108</v>
      </c>
    </row>
    <row r="17" spans="2:10" x14ac:dyDescent="0.25">
      <c r="B17" t="s">
        <v>128</v>
      </c>
    </row>
    <row r="18" spans="2:10" x14ac:dyDescent="0.25">
      <c r="B18" t="s">
        <v>129</v>
      </c>
    </row>
    <row r="20" spans="2:10" x14ac:dyDescent="0.25">
      <c r="B20" t="s">
        <v>102</v>
      </c>
      <c r="J20" s="84"/>
    </row>
    <row r="21" spans="2:10" x14ac:dyDescent="0.25">
      <c r="B21" t="s">
        <v>107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tabSelected="1" workbookViewId="0">
      <selection activeCell="F26" sqref="F26"/>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9</v>
      </c>
      <c r="D3" s="91"/>
      <c r="E3" s="91"/>
      <c r="F3" s="91"/>
      <c r="G3" s="91"/>
      <c r="H3" s="91"/>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43</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41</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44</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42</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election activeCell="K22" sqref="K22:O22"/>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17</v>
      </c>
      <c r="D3" s="91"/>
      <c r="E3" s="91"/>
      <c r="F3" s="91"/>
      <c r="G3" s="91"/>
      <c r="H3" s="91"/>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116</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118</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117</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49</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11</xdr:row>
                    <xdr:rowOff>28575</xdr:rowOff>
                  </from>
                  <to>
                    <xdr:col>22</xdr:col>
                    <xdr:colOff>552450</xdr:colOff>
                    <xdr:row>15</xdr:row>
                    <xdr:rowOff>0</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200025</xdr:colOff>
                    <xdr:row>20</xdr:row>
                    <xdr:rowOff>85725</xdr:rowOff>
                  </from>
                  <to>
                    <xdr:col>22</xdr:col>
                    <xdr:colOff>552450</xdr:colOff>
                    <xdr:row>23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18</v>
      </c>
      <c r="D3" s="91"/>
      <c r="E3" s="91"/>
      <c r="F3" s="91"/>
      <c r="G3" s="91"/>
      <c r="H3" s="91"/>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53</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118</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117</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election activeCell="G28" sqref="G28"/>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20</v>
      </c>
      <c r="D3" s="91"/>
      <c r="E3" s="91"/>
      <c r="F3" s="91"/>
      <c r="G3" s="91"/>
      <c r="H3" s="91"/>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55</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54</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50</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51</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21</v>
      </c>
      <c r="D3" s="91"/>
      <c r="E3" s="91"/>
      <c r="F3" s="91"/>
      <c r="G3" s="91"/>
      <c r="H3" s="91"/>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99</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98</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119</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120</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57</v>
      </c>
      <c r="D3" s="91"/>
      <c r="E3" s="91"/>
      <c r="F3" s="91"/>
      <c r="G3" s="91"/>
      <c r="H3" s="91"/>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121</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122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119</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120</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4"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5"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10</v>
      </c>
      <c r="D3" s="91"/>
      <c r="E3" s="91"/>
      <c r="F3" s="91"/>
      <c r="G3" s="91"/>
      <c r="H3" s="91"/>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110</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56</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50</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51</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114</v>
      </c>
      <c r="D3" s="91"/>
      <c r="E3" s="91"/>
      <c r="F3" s="91"/>
      <c r="G3" s="91"/>
      <c r="H3" s="91"/>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93" t="s">
        <v>111</v>
      </c>
      <c r="L5" s="93"/>
      <c r="M5" s="93"/>
      <c r="N5" s="93"/>
      <c r="O5" s="93"/>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93"/>
      <c r="L6" s="93"/>
      <c r="M6" s="93"/>
      <c r="N6" s="93"/>
      <c r="O6" s="93"/>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93"/>
      <c r="L7" s="93"/>
      <c r="M7" s="93"/>
      <c r="N7" s="93"/>
      <c r="O7" s="93"/>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93"/>
      <c r="L8" s="93"/>
      <c r="M8" s="93"/>
      <c r="N8" s="93"/>
      <c r="O8" s="93"/>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93"/>
      <c r="L9" s="93"/>
      <c r="M9" s="93"/>
      <c r="N9" s="93"/>
      <c r="O9" s="93"/>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93"/>
      <c r="L10" s="93"/>
      <c r="M10" s="93"/>
      <c r="N10" s="93"/>
      <c r="O10" s="93"/>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123</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46</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election activeCell="H28" sqref="H28"/>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115</v>
      </c>
      <c r="D3" s="91"/>
      <c r="E3" s="91"/>
      <c r="F3" s="91"/>
      <c r="G3" s="91"/>
      <c r="H3" s="91"/>
      <c r="I3" s="16"/>
      <c r="J3" s="16"/>
      <c r="K3" s="16"/>
      <c r="L3" s="16"/>
      <c r="M3" s="16"/>
      <c r="N3" s="16"/>
      <c r="O3" s="16"/>
      <c r="P3" s="16"/>
      <c r="Q3" s="16"/>
      <c r="R3" s="16"/>
      <c r="S3" s="16"/>
      <c r="T3" s="19" t="s">
        <v>60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124</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113</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125</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126</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L26" sqref="L26:S29"/>
    </sheetView>
  </sheetViews>
  <sheetFormatPr defaultRowHeight="15" x14ac:dyDescent="0.25"/>
  <cols>
    <col min="2" max="2" width="9.7109375" bestFit="1" customWidth="1"/>
    <col min="3" max="3" width="10.7109375" bestFit="1" customWidth="1"/>
    <col min="4" max="4" width="10.85546875" bestFit="1"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85" t="s">
        <v>109</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x14ac:dyDescent="0.25">
      <c r="A6" s="45"/>
      <c r="B6" s="65" t="s">
        <v>30</v>
      </c>
      <c r="C6" s="47"/>
      <c r="D6" s="65" t="s">
        <v>31</v>
      </c>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4" thickBot="1" x14ac:dyDescent="0.3">
      <c r="A7" s="45"/>
      <c r="B7" s="66">
        <f>IF(Gameplay!D7&lt;100,1,IF(Gameplay!D7&lt;200,2,IF(Gameplay!D7&lt;300,3,IF(Gameplay!D7&lt;400,4,IF(Gameplay!D7&lt;500,5,IF(Gameplay!D7&lt;600,6,IF(Gameplay!D7&lt;700,7,IF(Gameplay!D7&lt;800,8,IF(Gameplay!D7&lt;900,9,IF(Gameplay!D7&lt;1000,10,IF(Gameplay!D7&lt;1100,11,IF(Gameplay!D7&lt;1200,12,IF(Gameplay!D7&lt;1300,13,IF(Gameplay!D7&lt;1400,14,IF(Gameplay!D7&lt;1500,15,IF(Gameplay!D7&lt;1600,16,IF(Gameplay!D7&lt;1700,17,IF(Gameplay!D7&lt;1800,18,IF(Gameplay!D7&lt;1900,19,IF(Gameplay!D7&lt;2000,20,IF(Gameplay!D7&lt;2100,21,IF(Gameplay!D7&lt;2200,22,IF(Gameplay!D7&lt;2300,23,IF(Gameplay!D7&lt;2400,24,IF(Gameplay!D7&lt;=2500,25,IF(Gameplay!D7&gt;=2500,25))))))))))))))))))))))))))</f>
        <v>1</v>
      </c>
      <c r="C7" s="47"/>
      <c r="D7" s="66">
        <f>'Battle System'!F4+EXP</f>
        <v>0</v>
      </c>
      <c r="E7" s="45"/>
      <c r="F7" s="45"/>
      <c r="G7" s="45"/>
      <c r="H7" s="45"/>
      <c r="I7" s="45"/>
      <c r="J7" s="45"/>
      <c r="K7" s="45"/>
      <c r="L7" s="45"/>
      <c r="M7" s="45"/>
      <c r="N7" s="45"/>
      <c r="O7" s="45"/>
      <c r="P7" s="45"/>
      <c r="Q7" s="45"/>
      <c r="R7" s="45"/>
      <c r="S7" s="45"/>
      <c r="T7" s="45"/>
      <c r="U7" s="45"/>
      <c r="V7" s="86">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85" t="s">
        <v>109</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86">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ht="15.75" thickBot="1" x14ac:dyDescent="0.3">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65" t="s">
        <v>12</v>
      </c>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ht="15.75" thickBot="1" x14ac:dyDescent="0.3">
      <c r="A14" s="45"/>
      <c r="B14" s="45"/>
      <c r="C14" s="66">
        <f>'Battle System'!N13</f>
        <v>0</v>
      </c>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95" t="str">
        <f>IF('Battle System'!N13=0,"",'Battle System'!N13)</f>
        <v/>
      </c>
      <c r="F15" s="95"/>
      <c r="G15" s="95"/>
      <c r="H15" s="9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95"/>
      <c r="F16" s="95"/>
      <c r="G16" s="95"/>
      <c r="H16" s="9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str">
        <f ca="1">IF(Health=0,"Dead","Alive")</f>
        <v>Alive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94"/>
      <c r="M26" s="94"/>
      <c r="N26" s="94"/>
      <c r="O26" s="94"/>
      <c r="P26" s="94"/>
      <c r="Q26" s="94"/>
      <c r="R26" s="94"/>
      <c r="S26" s="94"/>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94"/>
      <c r="M27" s="94"/>
      <c r="N27" s="94"/>
      <c r="O27" s="94"/>
      <c r="P27" s="94"/>
      <c r="Q27" s="94"/>
      <c r="R27" s="94"/>
      <c r="S27" s="94"/>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94"/>
      <c r="M28" s="94"/>
      <c r="N28" s="94"/>
      <c r="O28" s="94"/>
      <c r="P28" s="94"/>
      <c r="Q28" s="94"/>
      <c r="R28" s="94"/>
      <c r="S28" s="94"/>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94"/>
      <c r="M29" s="94"/>
      <c r="N29" s="94"/>
      <c r="O29" s="94"/>
      <c r="P29" s="94"/>
      <c r="Q29" s="94"/>
      <c r="R29" s="94"/>
      <c r="S29" s="94"/>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AJ36"/>
  <sheetViews>
    <sheetView workbookViewId="0">
      <selection sqref="A1:AB2"/>
    </sheetView>
  </sheetViews>
  <sheetFormatPr defaultRowHeight="15" x14ac:dyDescent="0.25"/>
  <cols>
    <col min="1" max="1" width="13.140625" customWidth="1"/>
    <col min="2" max="2" width="10.7109375" bestFit="1" customWidth="1"/>
    <col min="3" max="3" width="15" customWidth="1"/>
    <col min="4" max="4" width="13.5703125" customWidth="1"/>
    <col min="5" max="5" width="3" customWidth="1"/>
    <col min="6" max="10" width="4" customWidth="1"/>
    <col min="11" max="11" width="11.28515625" customWidth="1"/>
    <col min="12" max="12" width="4.85546875" customWidth="1"/>
    <col min="13" max="13" width="7.85546875" customWidth="1"/>
    <col min="14" max="14" width="4.85546875" customWidth="1"/>
    <col min="15" max="15" width="7.85546875" customWidth="1"/>
    <col min="16" max="16" width="5.85546875" customWidth="1"/>
    <col min="17" max="17" width="8.85546875" customWidth="1"/>
    <col min="18" max="18" width="5.85546875" customWidth="1"/>
    <col min="19" max="19" width="8.85546875" customWidth="1"/>
    <col min="20" max="20" width="11.28515625" customWidth="1"/>
    <col min="21" max="22" width="7.85546875" customWidth="1"/>
    <col min="23" max="23" width="5.85546875" customWidth="1"/>
    <col min="24" max="24" width="7.85546875" customWidth="1"/>
    <col min="25" max="25" width="8.85546875" customWidth="1"/>
    <col min="26" max="26" width="5.85546875" customWidth="1"/>
    <col min="27" max="27" width="7.85546875" customWidth="1"/>
    <col min="28" max="28" width="8.85546875" customWidth="1"/>
    <col min="29" max="29" width="11.28515625" bestFit="1" customWidth="1"/>
  </cols>
  <sheetData>
    <row r="1" spans="1:36" x14ac:dyDescent="0.25">
      <c r="A1" s="96" t="s">
        <v>72</v>
      </c>
      <c r="B1" s="97"/>
      <c r="C1" s="97"/>
      <c r="D1" s="97"/>
      <c r="E1" s="97"/>
      <c r="F1" s="97"/>
      <c r="G1" s="97"/>
      <c r="H1" s="97"/>
      <c r="I1" s="97"/>
      <c r="J1" s="97"/>
      <c r="K1" s="97"/>
      <c r="L1" s="97"/>
      <c r="M1" s="97"/>
      <c r="N1" s="97"/>
      <c r="O1" s="97"/>
      <c r="P1" s="97"/>
      <c r="Q1" s="97"/>
      <c r="R1" s="97"/>
      <c r="S1" s="97"/>
      <c r="T1" s="97"/>
      <c r="U1" s="97"/>
      <c r="V1" s="97"/>
      <c r="W1" s="97"/>
      <c r="X1" s="97"/>
      <c r="Y1" s="97"/>
      <c r="Z1" s="97"/>
      <c r="AA1" s="97"/>
      <c r="AB1" s="97"/>
      <c r="AC1" s="53"/>
      <c r="AD1" s="53"/>
      <c r="AE1" s="53"/>
      <c r="AF1" s="53"/>
      <c r="AG1" s="53"/>
      <c r="AH1" s="53"/>
      <c r="AI1" s="53"/>
      <c r="AJ1" s="53"/>
    </row>
    <row r="2" spans="1:36" x14ac:dyDescent="0.25">
      <c r="A2" s="97"/>
      <c r="B2" s="97"/>
      <c r="C2" s="97"/>
      <c r="D2" s="97"/>
      <c r="E2" s="97"/>
      <c r="F2" s="97"/>
      <c r="G2" s="97"/>
      <c r="H2" s="97"/>
      <c r="I2" s="97"/>
      <c r="J2" s="97"/>
      <c r="K2" s="97"/>
      <c r="L2" s="97"/>
      <c r="M2" s="97"/>
      <c r="N2" s="97"/>
      <c r="O2" s="97"/>
      <c r="P2" s="97"/>
      <c r="Q2" s="97"/>
      <c r="R2" s="97"/>
      <c r="S2" s="97"/>
      <c r="T2" s="97"/>
      <c r="U2" s="97"/>
      <c r="V2" s="97"/>
      <c r="W2" s="97"/>
      <c r="X2" s="97"/>
      <c r="Y2" s="97"/>
      <c r="Z2" s="97"/>
      <c r="AA2" s="97"/>
      <c r="AB2" s="97"/>
      <c r="AC2" s="53"/>
      <c r="AD2" s="53"/>
      <c r="AE2" s="53"/>
      <c r="AF2" s="53"/>
      <c r="AG2" s="53"/>
      <c r="AH2" s="53"/>
      <c r="AI2" s="53"/>
      <c r="AJ2" s="53"/>
    </row>
    <row r="3" spans="1:36" x14ac:dyDescent="0.25">
      <c r="A3" s="51" t="s">
        <v>70</v>
      </c>
      <c r="B3" t="s">
        <v>69</v>
      </c>
      <c r="C3" t="s">
        <v>68</v>
      </c>
      <c r="D3" t="s">
        <v>67</v>
      </c>
      <c r="E3" s="53"/>
      <c r="F3" s="53"/>
      <c r="G3" s="53"/>
      <c r="H3" s="53"/>
      <c r="I3" s="53"/>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row>
    <row r="4" spans="1:36" x14ac:dyDescent="0.25">
      <c r="A4" s="52" t="s">
        <v>60</v>
      </c>
      <c r="B4" s="50">
        <v>0</v>
      </c>
      <c r="C4" s="50">
        <v>6</v>
      </c>
      <c r="D4" s="50">
        <v>34</v>
      </c>
      <c r="E4" s="53"/>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row>
    <row r="5" spans="1:36" x14ac:dyDescent="0.25">
      <c r="A5" s="52" t="s">
        <v>9</v>
      </c>
      <c r="B5" s="50">
        <v>10</v>
      </c>
      <c r="C5" s="50">
        <v>4</v>
      </c>
      <c r="D5" s="50">
        <v>5</v>
      </c>
      <c r="E5" s="53"/>
      <c r="F5" s="53"/>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row>
    <row r="6" spans="1:36" x14ac:dyDescent="0.25">
      <c r="A6" s="52" t="s">
        <v>17</v>
      </c>
      <c r="B6" s="50">
        <v>20</v>
      </c>
      <c r="C6" s="50">
        <v>6</v>
      </c>
      <c r="D6" s="50">
        <v>25</v>
      </c>
      <c r="E6" s="53"/>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c r="AH6" s="53"/>
      <c r="AI6" s="53"/>
      <c r="AJ6" s="53"/>
    </row>
    <row r="7" spans="1:36" x14ac:dyDescent="0.25">
      <c r="A7" s="52" t="s">
        <v>18</v>
      </c>
      <c r="B7" s="50">
        <v>35</v>
      </c>
      <c r="C7" s="50">
        <v>6</v>
      </c>
      <c r="D7" s="50">
        <v>35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row>
    <row r="8" spans="1:36" x14ac:dyDescent="0.25">
      <c r="A8" s="52" t="s">
        <v>21</v>
      </c>
      <c r="B8" s="50">
        <v>150</v>
      </c>
      <c r="C8" s="50">
        <v>20</v>
      </c>
      <c r="D8" s="50">
        <v>50</v>
      </c>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row>
    <row r="9" spans="1:36" x14ac:dyDescent="0.25">
      <c r="A9" s="52" t="s">
        <v>20</v>
      </c>
      <c r="B9" s="50">
        <v>100</v>
      </c>
      <c r="C9" s="50">
        <v>12</v>
      </c>
      <c r="D9" s="50">
        <v>80</v>
      </c>
      <c r="E9" s="53"/>
      <c r="F9" s="53"/>
      <c r="G9" s="53"/>
      <c r="H9" s="53"/>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row>
    <row r="10" spans="1:36" x14ac:dyDescent="0.25">
      <c r="A10" s="52" t="s">
        <v>22</v>
      </c>
      <c r="B10" s="50">
        <v>300</v>
      </c>
      <c r="C10" s="50">
        <v>20</v>
      </c>
      <c r="D10" s="50">
        <v>120</v>
      </c>
      <c r="E10" s="53"/>
      <c r="F10" s="53"/>
      <c r="G10" s="53"/>
      <c r="H10" s="53"/>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row>
    <row r="11" spans="1:36" x14ac:dyDescent="0.25">
      <c r="A11" s="52" t="s">
        <v>10</v>
      </c>
      <c r="B11" s="50">
        <v>500</v>
      </c>
      <c r="C11" s="50">
        <v>20</v>
      </c>
      <c r="D11" s="50">
        <v>250</v>
      </c>
      <c r="E11" s="53"/>
      <c r="F11" s="53"/>
      <c r="G11" s="53"/>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row>
    <row r="12" spans="1:36" x14ac:dyDescent="0.25">
      <c r="A12" s="52" t="s">
        <v>19</v>
      </c>
      <c r="B12" s="50">
        <v>420</v>
      </c>
      <c r="C12" s="50">
        <v>8</v>
      </c>
      <c r="D12" s="50">
        <v>65</v>
      </c>
      <c r="E12" s="53"/>
      <c r="F12" s="53"/>
      <c r="G12" s="53"/>
      <c r="H12" s="53"/>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row>
    <row r="13" spans="1:36" x14ac:dyDescent="0.25">
      <c r="A13" s="54" t="s">
        <v>71</v>
      </c>
      <c r="B13" s="55">
        <v>1535</v>
      </c>
      <c r="C13" s="55">
        <v>102</v>
      </c>
      <c r="D13" s="55">
        <v>664</v>
      </c>
      <c r="E13" s="53"/>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row>
    <row r="14" spans="1:36" x14ac:dyDescent="0.25">
      <c r="A14" s="53"/>
      <c r="B14" s="53"/>
      <c r="C14" s="53"/>
      <c r="D14" s="53"/>
      <c r="E14" s="53"/>
      <c r="F14" s="53"/>
      <c r="G14" s="53"/>
      <c r="H14" s="53"/>
      <c r="I14" s="53"/>
      <c r="J14" s="53"/>
      <c r="K14" s="53"/>
      <c r="L14" s="53"/>
      <c r="M14" s="53"/>
      <c r="N14" s="53"/>
      <c r="O14" s="53"/>
      <c r="P14" s="53"/>
      <c r="Q14" s="53"/>
      <c r="R14" s="53"/>
      <c r="S14" s="53"/>
      <c r="T14" s="53"/>
      <c r="U14" s="53"/>
      <c r="V14" s="53"/>
      <c r="W14" s="53"/>
      <c r="X14" s="53"/>
      <c r="Y14" s="53"/>
      <c r="Z14" s="53"/>
      <c r="AA14" s="53"/>
      <c r="AB14" s="53"/>
      <c r="AC14" s="53"/>
      <c r="AD14" s="53"/>
      <c r="AE14" s="53"/>
      <c r="AF14" s="53"/>
      <c r="AG14" s="53"/>
      <c r="AH14" s="53"/>
      <c r="AI14" s="53"/>
      <c r="AJ14" s="53"/>
    </row>
    <row r="15" spans="1:36" x14ac:dyDescent="0.25">
      <c r="A15" s="53"/>
      <c r="B15" s="53"/>
      <c r="C15" s="53"/>
      <c r="D15" s="53"/>
      <c r="E15" s="53"/>
      <c r="F15" s="53"/>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row>
    <row r="16" spans="1:36" x14ac:dyDescent="0.25">
      <c r="A16" s="53"/>
      <c r="B16" s="53"/>
      <c r="C16" s="53"/>
      <c r="D16" s="53"/>
      <c r="E16" s="53"/>
      <c r="F16" s="53"/>
      <c r="G16" s="53"/>
      <c r="H16" s="53"/>
      <c r="I16" s="53"/>
      <c r="J16" s="53"/>
      <c r="K16" s="53"/>
      <c r="L16" s="53"/>
      <c r="M16" s="53"/>
      <c r="N16" s="53"/>
      <c r="O16" s="53"/>
      <c r="P16" s="53"/>
      <c r="Q16" s="53"/>
      <c r="R16" s="53"/>
      <c r="S16" s="53"/>
      <c r="T16" s="53"/>
      <c r="U16" s="53"/>
      <c r="V16" s="53"/>
      <c r="W16" s="53"/>
      <c r="X16" s="53"/>
      <c r="Y16" s="53"/>
      <c r="Z16" s="53"/>
      <c r="AA16" s="53"/>
      <c r="AB16" s="53"/>
      <c r="AC16" s="53"/>
      <c r="AD16" s="53"/>
      <c r="AE16" s="53"/>
      <c r="AF16" s="53"/>
      <c r="AG16" s="53"/>
      <c r="AH16" s="53"/>
      <c r="AI16" s="53"/>
      <c r="AJ16" s="53"/>
    </row>
    <row r="17" spans="1:36" x14ac:dyDescent="0.25">
      <c r="A17" s="53"/>
      <c r="B17" s="53"/>
      <c r="C17" s="53"/>
      <c r="D17" s="53"/>
      <c r="E17" s="53"/>
      <c r="F17" s="53"/>
      <c r="G17" s="53"/>
      <c r="H17" s="53"/>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c r="AJ17" s="53"/>
    </row>
    <row r="18" spans="1:36" x14ac:dyDescent="0.25">
      <c r="A18" s="53"/>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row>
    <row r="19" spans="1:36" x14ac:dyDescent="0.25">
      <c r="A19" s="53"/>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row>
    <row r="20" spans="1:36" x14ac:dyDescent="0.25">
      <c r="A20" s="53"/>
      <c r="B20" s="53"/>
      <c r="C20" s="53"/>
      <c r="D20" s="53"/>
      <c r="E20" s="53"/>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row>
    <row r="21" spans="1:36" x14ac:dyDescent="0.25">
      <c r="A21" s="53"/>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row>
    <row r="22" spans="1:36" x14ac:dyDescent="0.25">
      <c r="A22" s="53"/>
      <c r="B22" s="53"/>
      <c r="C22" s="53"/>
      <c r="D22" s="53"/>
      <c r="E22" s="53"/>
      <c r="F22" s="53"/>
      <c r="G22" s="53"/>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row>
    <row r="23" spans="1:36" x14ac:dyDescent="0.25">
      <c r="A23" s="53"/>
      <c r="B23" s="53"/>
      <c r="C23" s="53"/>
      <c r="D23" s="53"/>
      <c r="E23" s="53"/>
      <c r="F23" s="53"/>
      <c r="G23" s="53"/>
      <c r="H23" s="53"/>
      <c r="I23" s="53"/>
      <c r="J23" s="53"/>
      <c r="K23" s="53"/>
      <c r="L23" s="53"/>
      <c r="M23" s="53"/>
      <c r="N23" s="53"/>
      <c r="O23" s="53"/>
      <c r="P23" s="53"/>
      <c r="Q23" s="53"/>
      <c r="R23" s="53"/>
      <c r="S23" s="53"/>
      <c r="T23" s="53"/>
      <c r="U23" s="53"/>
      <c r="V23" s="53"/>
      <c r="W23" s="53"/>
      <c r="X23" s="53"/>
      <c r="Y23" s="53"/>
      <c r="Z23" s="53"/>
      <c r="AA23" s="53"/>
      <c r="AB23" s="53"/>
      <c r="AC23" s="53"/>
      <c r="AD23" s="53"/>
      <c r="AE23" s="53"/>
      <c r="AF23" s="53"/>
      <c r="AG23" s="53"/>
      <c r="AH23" s="53"/>
      <c r="AI23" s="53"/>
      <c r="AJ23" s="53"/>
    </row>
    <row r="24" spans="1:36" x14ac:dyDescent="0.25">
      <c r="A24" s="53"/>
      <c r="B24" s="53"/>
      <c r="C24" s="53"/>
      <c r="D24" s="53"/>
      <c r="E24" s="53"/>
      <c r="F24" s="53"/>
      <c r="G24" s="53"/>
      <c r="H24" s="53"/>
      <c r="I24" s="53"/>
      <c r="J24" s="53"/>
      <c r="K24" s="53"/>
      <c r="L24" s="53"/>
      <c r="M24" s="53"/>
      <c r="N24" s="53"/>
      <c r="O24" s="53"/>
      <c r="P24" s="53"/>
      <c r="Q24" s="53"/>
      <c r="R24" s="53"/>
      <c r="S24" s="53"/>
      <c r="T24" s="53"/>
      <c r="U24" s="53"/>
      <c r="V24" s="53"/>
      <c r="W24" s="53"/>
      <c r="X24" s="53"/>
      <c r="Y24" s="53"/>
      <c r="Z24" s="53"/>
      <c r="AA24" s="53"/>
      <c r="AB24" s="53"/>
      <c r="AC24" s="53"/>
      <c r="AD24" s="53"/>
      <c r="AE24" s="53"/>
      <c r="AF24" s="53"/>
      <c r="AG24" s="53"/>
      <c r="AH24" s="53"/>
      <c r="AI24" s="53"/>
      <c r="AJ24" s="53"/>
    </row>
    <row r="25" spans="1:36" x14ac:dyDescent="0.25">
      <c r="A25" s="53"/>
      <c r="B25" s="53"/>
      <c r="C25" s="53"/>
      <c r="D25" s="53"/>
      <c r="E25" s="53"/>
      <c r="F25" s="53"/>
      <c r="G25" s="53"/>
      <c r="H25" s="53"/>
      <c r="I25" s="53"/>
      <c r="J25" s="53"/>
      <c r="K25" s="53"/>
      <c r="L25" s="53"/>
      <c r="M25" s="53"/>
      <c r="N25" s="53"/>
      <c r="O25" s="53"/>
      <c r="P25" s="53"/>
      <c r="Q25" s="53"/>
      <c r="R25" s="53"/>
      <c r="S25" s="53"/>
      <c r="T25" s="53"/>
      <c r="U25" s="53"/>
      <c r="V25" s="53"/>
      <c r="W25" s="53"/>
      <c r="X25" s="53"/>
      <c r="Y25" s="53"/>
      <c r="Z25" s="53"/>
      <c r="AA25" s="53"/>
      <c r="AB25" s="53"/>
      <c r="AC25" s="53"/>
      <c r="AD25" s="53"/>
      <c r="AE25" s="53"/>
      <c r="AF25" s="53"/>
      <c r="AG25" s="53"/>
      <c r="AH25" s="53"/>
      <c r="AI25" s="53"/>
      <c r="AJ25" s="53"/>
    </row>
    <row r="26" spans="1:36" x14ac:dyDescent="0.25">
      <c r="A26" s="53"/>
      <c r="B26" s="53"/>
      <c r="C26" s="53"/>
      <c r="D26" s="53"/>
      <c r="E26" s="53"/>
      <c r="F26" s="53"/>
      <c r="G26" s="53"/>
      <c r="H26" s="53"/>
      <c r="I26" s="53"/>
      <c r="J26" s="53"/>
      <c r="K26" s="53"/>
      <c r="L26" s="53"/>
      <c r="M26" s="53"/>
      <c r="N26" s="53"/>
      <c r="O26" s="53"/>
      <c r="P26" s="53"/>
      <c r="Q26" s="53"/>
      <c r="R26" s="53"/>
      <c r="S26" s="53"/>
      <c r="T26" s="53"/>
      <c r="U26" s="53"/>
      <c r="V26" s="53"/>
      <c r="W26" s="53"/>
      <c r="X26" s="53"/>
      <c r="Y26" s="53"/>
      <c r="Z26" s="53"/>
      <c r="AA26" s="53"/>
      <c r="AB26" s="53"/>
      <c r="AC26" s="53"/>
      <c r="AD26" s="53"/>
      <c r="AE26" s="53"/>
      <c r="AF26" s="53"/>
      <c r="AG26" s="53"/>
      <c r="AH26" s="53"/>
      <c r="AI26" s="53"/>
      <c r="AJ26" s="53"/>
    </row>
    <row r="27" spans="1:36" x14ac:dyDescent="0.25">
      <c r="A27" s="53"/>
      <c r="B27" s="53"/>
      <c r="C27" s="53"/>
      <c r="D27" s="53"/>
      <c r="E27" s="53"/>
      <c r="F27" s="53"/>
      <c r="G27" s="53"/>
      <c r="H27" s="53"/>
      <c r="I27" s="53"/>
      <c r="J27" s="53"/>
      <c r="K27" s="53"/>
      <c r="L27" s="53"/>
      <c r="M27" s="53"/>
      <c r="N27" s="53"/>
      <c r="O27" s="53"/>
      <c r="P27" s="53"/>
      <c r="Q27" s="53"/>
      <c r="R27" s="53"/>
      <c r="S27" s="53"/>
      <c r="T27" s="53"/>
      <c r="U27" s="53"/>
      <c r="V27" s="53"/>
      <c r="W27" s="53"/>
      <c r="X27" s="53"/>
      <c r="Y27" s="53"/>
      <c r="Z27" s="53"/>
      <c r="AA27" s="53"/>
      <c r="AB27" s="53"/>
      <c r="AC27" s="53"/>
      <c r="AD27" s="53"/>
      <c r="AE27" s="53"/>
      <c r="AF27" s="53"/>
      <c r="AG27" s="53"/>
      <c r="AH27" s="53"/>
      <c r="AI27" s="53"/>
      <c r="AJ27" s="53"/>
    </row>
    <row r="28" spans="1:36" x14ac:dyDescent="0.25">
      <c r="A28" s="53"/>
      <c r="B28" s="53"/>
      <c r="C28" s="53"/>
      <c r="D28" s="53"/>
      <c r="E28" s="53"/>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row>
    <row r="29" spans="1:36" x14ac:dyDescent="0.25">
      <c r="A29" s="53"/>
      <c r="B29" s="53"/>
      <c r="C29" s="53"/>
      <c r="D29" s="53"/>
      <c r="E29" s="53"/>
      <c r="F29" s="53"/>
      <c r="G29" s="53"/>
      <c r="H29" s="53"/>
      <c r="I29" s="53"/>
      <c r="J29" s="53"/>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row>
    <row r="30" spans="1:36" x14ac:dyDescent="0.25">
      <c r="A30" s="53"/>
      <c r="B30" s="53"/>
      <c r="C30" s="53"/>
      <c r="D30" s="53"/>
      <c r="E30" s="53"/>
      <c r="F30" s="53"/>
      <c r="G30" s="53"/>
      <c r="H30" s="53"/>
      <c r="I30" s="53"/>
      <c r="J30" s="53"/>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row>
    <row r="31" spans="1:36" x14ac:dyDescent="0.25">
      <c r="A31" s="53"/>
      <c r="B31" s="53"/>
      <c r="C31" s="53"/>
      <c r="D31" s="53"/>
      <c r="E31" s="53"/>
      <c r="F31" s="53"/>
      <c r="G31" s="53"/>
      <c r="H31" s="53"/>
      <c r="I31" s="53"/>
      <c r="J31" s="53"/>
      <c r="K31" s="53"/>
      <c r="L31" s="53"/>
      <c r="M31" s="53"/>
      <c r="N31" s="53"/>
      <c r="O31" s="53"/>
      <c r="P31" s="53"/>
      <c r="Q31" s="53"/>
      <c r="R31" s="53"/>
      <c r="S31" s="53"/>
      <c r="T31" s="53"/>
      <c r="U31" s="53"/>
      <c r="V31" s="53"/>
      <c r="W31" s="53"/>
      <c r="X31" s="53"/>
      <c r="Y31" s="53"/>
      <c r="Z31" s="53"/>
      <c r="AA31" s="53"/>
      <c r="AB31" s="53"/>
      <c r="AC31" s="53"/>
      <c r="AD31" s="53"/>
      <c r="AE31" s="53"/>
      <c r="AF31" s="53"/>
      <c r="AG31" s="53"/>
      <c r="AH31" s="53"/>
      <c r="AI31" s="53"/>
      <c r="AJ31" s="53"/>
    </row>
    <row r="32" spans="1:36" x14ac:dyDescent="0.25">
      <c r="A32" s="53"/>
      <c r="B32" s="53"/>
      <c r="C32" s="53"/>
      <c r="D32" s="53"/>
      <c r="E32" s="53"/>
      <c r="F32" s="53"/>
      <c r="G32" s="53"/>
      <c r="H32" s="53"/>
      <c r="I32" s="53"/>
      <c r="J32" s="53"/>
      <c r="K32" s="53"/>
      <c r="L32" s="53"/>
      <c r="M32" s="53"/>
      <c r="N32" s="53"/>
      <c r="O32" s="53"/>
      <c r="P32" s="53"/>
      <c r="Q32" s="53"/>
      <c r="R32" s="53"/>
      <c r="S32" s="53"/>
      <c r="T32" s="53"/>
      <c r="U32" s="53"/>
      <c r="V32" s="53"/>
      <c r="W32" s="53"/>
      <c r="X32" s="53"/>
      <c r="Y32" s="53"/>
      <c r="Z32" s="53"/>
      <c r="AA32" s="53"/>
      <c r="AB32" s="53"/>
      <c r="AC32" s="53"/>
      <c r="AD32" s="53"/>
      <c r="AE32" s="53"/>
      <c r="AF32" s="53"/>
      <c r="AG32" s="53"/>
      <c r="AH32" s="53"/>
      <c r="AI32" s="53"/>
      <c r="AJ32" s="53"/>
    </row>
    <row r="33" spans="1:36" x14ac:dyDescent="0.25">
      <c r="A33" s="53"/>
      <c r="B33" s="53"/>
      <c r="C33" s="53"/>
      <c r="D33" s="53"/>
      <c r="E33" s="53"/>
      <c r="F33" s="53"/>
      <c r="G33" s="53"/>
      <c r="H33" s="53"/>
      <c r="I33" s="53"/>
      <c r="J33" s="53"/>
      <c r="K33" s="53"/>
      <c r="L33" s="53"/>
      <c r="M33" s="53"/>
      <c r="N33" s="53"/>
      <c r="O33" s="53"/>
      <c r="P33" s="53"/>
      <c r="Q33" s="53"/>
      <c r="R33" s="53"/>
      <c r="S33" s="53"/>
      <c r="T33" s="53"/>
      <c r="U33" s="53"/>
      <c r="V33" s="53"/>
      <c r="W33" s="53"/>
      <c r="X33" s="53"/>
      <c r="Y33" s="53"/>
      <c r="Z33" s="53"/>
      <c r="AA33" s="53"/>
      <c r="AB33" s="53"/>
      <c r="AC33" s="53"/>
      <c r="AD33" s="53"/>
      <c r="AE33" s="53"/>
      <c r="AF33" s="53"/>
      <c r="AG33" s="53"/>
      <c r="AH33" s="53"/>
      <c r="AI33" s="53"/>
      <c r="AJ33" s="53"/>
    </row>
    <row r="34" spans="1:36" x14ac:dyDescent="0.25">
      <c r="A34" s="53"/>
      <c r="B34" s="53"/>
      <c r="C34" s="53"/>
      <c r="D34" s="53"/>
      <c r="E34" s="53"/>
      <c r="F34" s="53"/>
      <c r="G34" s="53"/>
      <c r="H34" s="53"/>
      <c r="I34" s="53"/>
      <c r="J34" s="53"/>
      <c r="K34" s="53"/>
      <c r="L34" s="53"/>
      <c r="M34" s="53"/>
      <c r="N34" s="53"/>
      <c r="O34" s="53"/>
      <c r="P34" s="53"/>
      <c r="Q34" s="53"/>
      <c r="R34" s="53"/>
      <c r="S34" s="53"/>
      <c r="T34" s="53"/>
      <c r="U34" s="53"/>
      <c r="V34" s="53"/>
      <c r="W34" s="53"/>
      <c r="X34" s="53"/>
      <c r="Y34" s="53"/>
      <c r="Z34" s="53"/>
      <c r="AA34" s="53"/>
      <c r="AB34" s="53"/>
      <c r="AC34" s="53"/>
      <c r="AD34" s="53"/>
      <c r="AE34" s="53"/>
      <c r="AF34" s="53"/>
      <c r="AG34" s="53"/>
      <c r="AH34" s="53"/>
      <c r="AI34" s="53"/>
      <c r="AJ34" s="53"/>
    </row>
    <row r="35" spans="1:36" x14ac:dyDescent="0.25">
      <c r="A35" s="53"/>
      <c r="B35" s="53"/>
      <c r="C35" s="53"/>
      <c r="D35" s="53"/>
      <c r="E35" s="53"/>
      <c r="F35" s="53"/>
      <c r="G35" s="53"/>
      <c r="H35" s="53"/>
      <c r="I35" s="53"/>
      <c r="J35" s="53"/>
      <c r="K35" s="53"/>
      <c r="L35" s="53"/>
      <c r="M35" s="53"/>
      <c r="N35" s="53"/>
      <c r="O35" s="53"/>
      <c r="P35" s="53"/>
      <c r="Q35" s="53"/>
      <c r="R35" s="53"/>
      <c r="S35" s="53"/>
      <c r="T35" s="53"/>
      <c r="U35" s="53"/>
      <c r="V35" s="53"/>
      <c r="W35" s="53"/>
      <c r="X35" s="53"/>
      <c r="Y35" s="53"/>
      <c r="Z35" s="53"/>
      <c r="AA35" s="53"/>
      <c r="AB35" s="53"/>
      <c r="AC35" s="53"/>
      <c r="AD35" s="53"/>
      <c r="AE35" s="53"/>
      <c r="AF35" s="53"/>
      <c r="AG35" s="53"/>
      <c r="AH35" s="53"/>
      <c r="AI35" s="53"/>
      <c r="AJ35" s="53"/>
    </row>
    <row r="36" spans="1:36" x14ac:dyDescent="0.25">
      <c r="A36" s="53"/>
      <c r="B36" s="53"/>
      <c r="C36" s="53"/>
      <c r="D36" s="53"/>
      <c r="E36" s="53"/>
      <c r="F36" s="53"/>
      <c r="G36" s="53"/>
      <c r="H36" s="53"/>
      <c r="I36" s="53"/>
      <c r="J36" s="53"/>
      <c r="K36" s="53"/>
      <c r="L36" s="53"/>
      <c r="M36" s="53"/>
      <c r="N36" s="53"/>
      <c r="O36" s="53"/>
      <c r="P36" s="53"/>
      <c r="Q36" s="53"/>
      <c r="R36" s="53"/>
      <c r="S36" s="53"/>
      <c r="T36" s="53"/>
      <c r="U36" s="53"/>
      <c r="V36" s="53"/>
      <c r="W36" s="53"/>
      <c r="X36" s="53"/>
      <c r="Y36" s="53"/>
      <c r="Z36" s="53"/>
      <c r="AA36" s="53"/>
      <c r="AB36" s="53"/>
      <c r="AC36" s="53"/>
      <c r="AD36" s="53"/>
      <c r="AE36" s="53"/>
      <c r="AF36" s="53"/>
      <c r="AG36" s="53"/>
      <c r="AH36" s="53"/>
      <c r="AI36" s="53"/>
      <c r="AJ36" s="53"/>
    </row>
  </sheetData>
  <mergeCells count="1">
    <mergeCell ref="A1:AB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N9" sqref="N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5.85546875" bestFit="1" customWidth="1"/>
    <col min="16" max="16" width="15.5703125" customWidth="1"/>
    <col min="19" max="19" width="10.28515625" customWidth="1"/>
  </cols>
  <sheetData>
    <row r="1" spans="1:16" s="1" customFormat="1" x14ac:dyDescent="0.25">
      <c r="A1" s="73"/>
      <c r="B1" s="73"/>
      <c r="C1" s="73"/>
      <c r="D1" s="73"/>
      <c r="E1" s="73"/>
      <c r="F1" s="74"/>
      <c r="G1" s="75"/>
      <c r="H1" s="74"/>
      <c r="I1" s="74"/>
      <c r="J1" s="74"/>
      <c r="K1" s="74"/>
      <c r="L1" s="74"/>
      <c r="M1" s="74"/>
      <c r="N1" s="74"/>
      <c r="O1" s="74"/>
      <c r="P1" s="74"/>
    </row>
    <row r="2" spans="1:16" x14ac:dyDescent="0.25">
      <c r="A2" s="76"/>
      <c r="B2" s="76"/>
      <c r="C2" s="76"/>
      <c r="D2" s="76"/>
      <c r="E2" s="76"/>
      <c r="F2" s="77"/>
      <c r="G2" s="77"/>
      <c r="H2" s="77"/>
      <c r="I2" s="77"/>
      <c r="J2" s="29" t="s">
        <v>60</v>
      </c>
      <c r="K2" s="29" t="s">
        <v>12</v>
      </c>
      <c r="L2" s="77"/>
      <c r="M2" s="77"/>
      <c r="N2" s="77"/>
      <c r="O2" s="77"/>
      <c r="P2" s="77"/>
    </row>
    <row r="3" spans="1:16" x14ac:dyDescent="0.25">
      <c r="A3" s="71" t="s">
        <v>0</v>
      </c>
      <c r="B3" s="71" t="s">
        <v>13</v>
      </c>
      <c r="C3" s="71" t="s">
        <v>33</v>
      </c>
      <c r="D3" s="76"/>
      <c r="E3" s="3" t="s">
        <v>34</v>
      </c>
      <c r="F3" s="3" t="s">
        <v>35</v>
      </c>
      <c r="G3" s="77"/>
      <c r="H3" s="77"/>
      <c r="I3" s="72" t="s">
        <v>61</v>
      </c>
      <c r="J3" s="35">
        <f ca="1">IF(N7&lt;=Damage,0,IF(J8&gt;0,N7-J6,N7))</f>
        <v>34</v>
      </c>
      <c r="K3" s="36">
        <f>IFERROR(IF(O14&lt;=Damage_to_Monster,0,IF(O14&gt;0,O14-J9,O14)),0)</f>
        <v>0</v>
      </c>
      <c r="L3" s="77"/>
      <c r="M3" s="77"/>
      <c r="N3" s="77"/>
      <c r="O3" s="77"/>
      <c r="P3" s="77"/>
    </row>
    <row r="4" spans="1:16" x14ac:dyDescent="0.25">
      <c r="A4" s="27">
        <v>0</v>
      </c>
      <c r="B4" s="27">
        <v>0</v>
      </c>
      <c r="C4" s="27">
        <v>0</v>
      </c>
      <c r="D4" s="76"/>
      <c r="E4" s="28">
        <f>SUM(XP)</f>
        <v>0</v>
      </c>
      <c r="F4" s="28">
        <v>0</v>
      </c>
      <c r="G4" s="77"/>
      <c r="H4" s="77"/>
      <c r="I4" s="72" t="s">
        <v>62</v>
      </c>
      <c r="J4" s="24">
        <f>J6</f>
        <v>0</v>
      </c>
      <c r="K4" s="24">
        <f>J9</f>
        <v>0</v>
      </c>
      <c r="L4" s="77"/>
      <c r="M4" s="77"/>
      <c r="N4" s="77"/>
      <c r="O4" s="77"/>
      <c r="P4" s="77"/>
    </row>
    <row r="5" spans="1:16" x14ac:dyDescent="0.25">
      <c r="A5" s="4"/>
      <c r="B5" s="4"/>
      <c r="C5" s="4"/>
      <c r="D5" s="76"/>
      <c r="E5" s="76"/>
      <c r="F5" s="77"/>
      <c r="G5" s="77"/>
      <c r="H5" s="77"/>
      <c r="I5" s="77"/>
      <c r="J5" s="77"/>
      <c r="K5" s="77"/>
      <c r="L5" s="77"/>
      <c r="M5" s="77"/>
      <c r="N5" s="77"/>
      <c r="O5" s="77"/>
      <c r="P5" s="77"/>
    </row>
    <row r="6" spans="1:16" ht="15.75" thickBot="1" x14ac:dyDescent="0.3">
      <c r="A6" s="27"/>
      <c r="B6" s="27"/>
      <c r="C6" s="27"/>
      <c r="D6" s="76"/>
      <c r="E6" s="77"/>
      <c r="F6" s="77"/>
      <c r="G6" s="77"/>
      <c r="H6" s="77"/>
      <c r="I6" s="48" t="s">
        <v>63</v>
      </c>
      <c r="J6" s="49">
        <f>SUM(Dmg)</f>
        <v>0</v>
      </c>
      <c r="K6" s="77"/>
      <c r="L6" s="39" t="s">
        <v>23</v>
      </c>
      <c r="M6" s="42" t="s">
        <v>3</v>
      </c>
      <c r="N6" s="29" t="s">
        <v>15</v>
      </c>
      <c r="O6" s="29" t="s">
        <v>8</v>
      </c>
      <c r="P6" s="77"/>
    </row>
    <row r="7" spans="1:16" x14ac:dyDescent="0.25">
      <c r="A7" s="4"/>
      <c r="B7" s="4"/>
      <c r="C7" s="4"/>
      <c r="D7" s="77"/>
      <c r="E7" s="98" t="s">
        <v>3</v>
      </c>
      <c r="F7" s="98"/>
      <c r="G7" s="98"/>
      <c r="H7" s="77"/>
      <c r="I7" s="48" t="s">
        <v>64</v>
      </c>
      <c r="J7" s="49" t="e">
        <f>O13</f>
        <v>#N/A</v>
      </c>
      <c r="K7" s="77"/>
      <c r="L7" s="37">
        <v>34</v>
      </c>
      <c r="M7" s="43">
        <f>level</f>
        <v>1</v>
      </c>
      <c r="N7" s="44">
        <f>(Basehealth+VLOOKUP(M7,LVL,2,FALSE))</f>
        <v>34</v>
      </c>
      <c r="O7" s="44">
        <f>IF(N9="Dragon's Bane","X",VLOOKUP(M7,LevelTable[],3,FALSE))</f>
        <v>6</v>
      </c>
      <c r="P7" s="77"/>
    </row>
    <row r="8" spans="1:16" ht="22.5" customHeight="1" x14ac:dyDescent="0.25">
      <c r="A8" s="27"/>
      <c r="B8" s="27"/>
      <c r="C8" s="27"/>
      <c r="D8" s="77"/>
      <c r="E8" t="s">
        <v>14</v>
      </c>
      <c r="F8" t="s">
        <v>15</v>
      </c>
      <c r="G8" t="s">
        <v>16</v>
      </c>
      <c r="H8" s="77"/>
      <c r="I8" s="48" t="s">
        <v>65</v>
      </c>
      <c r="J8" s="49" t="str">
        <f ca="1">IF(O7=100,J25,IF(O7=20,J26,IF(O7=12,J27,IF(O7=10,J28,IF(O7=8,J29,IF(O7=6,J30,IF(O7=4,J31,IF(O7="x",J32,"No Dice"))))))))</f>
        <v/>
      </c>
      <c r="K8" s="77"/>
      <c r="L8" s="77"/>
      <c r="M8" s="77"/>
      <c r="N8" s="77"/>
      <c r="O8" s="77"/>
      <c r="P8" s="77"/>
    </row>
    <row r="9" spans="1:16" x14ac:dyDescent="0.25">
      <c r="A9" s="4"/>
      <c r="B9" s="4"/>
      <c r="C9" s="4"/>
      <c r="D9" s="77"/>
      <c r="E9" s="2">
        <v>1</v>
      </c>
      <c r="F9" s="2">
        <v>0</v>
      </c>
      <c r="G9" s="2">
        <v>6</v>
      </c>
      <c r="H9" s="77"/>
      <c r="I9" s="48" t="s">
        <v>66</v>
      </c>
      <c r="J9" s="49">
        <f>SUM(mdmg)</f>
        <v>0</v>
      </c>
      <c r="K9" s="77"/>
      <c r="L9" s="77"/>
      <c r="M9" s="81" t="s">
        <v>97</v>
      </c>
      <c r="N9" s="82"/>
      <c r="O9" s="77"/>
      <c r="P9" s="77"/>
    </row>
    <row r="10" spans="1:16" x14ac:dyDescent="0.25">
      <c r="A10" s="27"/>
      <c r="B10" s="27"/>
      <c r="C10" s="27"/>
      <c r="D10" s="77"/>
      <c r="E10" s="2">
        <v>2</v>
      </c>
      <c r="F10" s="2">
        <v>2</v>
      </c>
      <c r="G10" s="2">
        <v>6</v>
      </c>
      <c r="H10" s="77"/>
      <c r="I10" s="77"/>
      <c r="J10" s="77"/>
      <c r="K10" s="77"/>
      <c r="L10" s="77"/>
      <c r="M10" s="77"/>
      <c r="N10" s="77"/>
      <c r="O10" s="77"/>
      <c r="P10" s="77"/>
    </row>
    <row r="11" spans="1:16" x14ac:dyDescent="0.25">
      <c r="A11" s="4"/>
      <c r="B11" s="4"/>
      <c r="C11" s="4"/>
      <c r="D11" s="77"/>
      <c r="E11" s="2">
        <v>3</v>
      </c>
      <c r="F11" s="2">
        <v>4</v>
      </c>
      <c r="G11" s="2">
        <v>6</v>
      </c>
      <c r="H11" s="77"/>
      <c r="I11" s="77"/>
      <c r="J11" s="77"/>
      <c r="K11" s="77"/>
      <c r="L11" s="77"/>
      <c r="M11" s="77"/>
      <c r="N11" s="77"/>
      <c r="O11" s="77"/>
      <c r="P11" s="77"/>
    </row>
    <row r="12" spans="1:16" x14ac:dyDescent="0.25">
      <c r="A12" s="27"/>
      <c r="B12" s="27"/>
      <c r="C12" s="27"/>
      <c r="D12" s="77"/>
      <c r="E12" s="2">
        <v>4</v>
      </c>
      <c r="F12" s="2">
        <v>6</v>
      </c>
      <c r="G12" s="2">
        <v>6</v>
      </c>
      <c r="H12" s="77"/>
      <c r="I12" s="99" t="s">
        <v>4</v>
      </c>
      <c r="J12" s="99"/>
      <c r="K12" s="99"/>
      <c r="L12" s="99"/>
      <c r="M12" s="77"/>
      <c r="N12" s="39" t="s">
        <v>12</v>
      </c>
      <c r="O12" s="40" t="s">
        <v>11</v>
      </c>
      <c r="P12" s="77"/>
    </row>
    <row r="13" spans="1:16" x14ac:dyDescent="0.25">
      <c r="A13" s="4"/>
      <c r="B13" s="4"/>
      <c r="C13" s="4"/>
      <c r="D13" s="77"/>
      <c r="E13" s="2">
        <v>5</v>
      </c>
      <c r="F13" s="2">
        <v>8</v>
      </c>
      <c r="G13" s="2">
        <v>6</v>
      </c>
      <c r="H13" s="77"/>
      <c r="I13" s="3" t="s">
        <v>5</v>
      </c>
      <c r="J13" s="3" t="s">
        <v>6</v>
      </c>
      <c r="K13" s="3" t="s">
        <v>7</v>
      </c>
      <c r="L13" s="3" t="s">
        <v>32</v>
      </c>
      <c r="M13" s="77"/>
      <c r="N13" s="38"/>
      <c r="O13" s="36" t="e">
        <f>IF(VLOOKUP(N13,Monster[],3,FALSE)=100,J25,IF(VLOOKUP(N13,Monster[],3,FALSE)=20,J26,IF(VLOOKUP(N13,Monster[],3,FALSE)=12,J27,IF(VLOOKUP(N13,Monster[],3,FALSE)=10,J28,IF(VLOOKUP(N13,Monster[],3,FALSE)=8,J29,IF(VLOOKUP(N13,Monster[],3,FALSE)=6,J30,IF(VLOOKUP(N13,Monster[],3,FALSE)=4,J31,IF(VLOOKUP(N13,Monster[],3,FALSE)="x",J32,"No Dice"))))))))</f>
        <v>#N/A</v>
      </c>
      <c r="P13" s="77"/>
    </row>
    <row r="14" spans="1:16" x14ac:dyDescent="0.25">
      <c r="A14" s="27"/>
      <c r="B14" s="27"/>
      <c r="C14" s="27"/>
      <c r="D14" s="77"/>
      <c r="E14" s="2">
        <v>6</v>
      </c>
      <c r="F14" s="2">
        <v>10</v>
      </c>
      <c r="G14" s="2">
        <v>6</v>
      </c>
      <c r="H14" s="77"/>
      <c r="I14" s="7" t="s">
        <v>9</v>
      </c>
      <c r="J14" s="7">
        <v>5</v>
      </c>
      <c r="K14" s="7">
        <v>4</v>
      </c>
      <c r="L14" s="8">
        <v>10</v>
      </c>
      <c r="M14" s="77"/>
      <c r="N14" s="41" t="s">
        <v>6</v>
      </c>
      <c r="O14" s="34" t="e">
        <f>VLOOKUP(N13,Monster[],2,FALSE)</f>
        <v>#N/A</v>
      </c>
      <c r="P14" s="77"/>
    </row>
    <row r="15" spans="1:16" x14ac:dyDescent="0.25">
      <c r="A15" s="4"/>
      <c r="B15" s="4"/>
      <c r="C15" s="4"/>
      <c r="D15" s="77"/>
      <c r="E15" s="2">
        <v>7</v>
      </c>
      <c r="F15" s="2">
        <v>12</v>
      </c>
      <c r="G15" s="2">
        <v>6</v>
      </c>
      <c r="H15" s="77"/>
      <c r="I15" s="4" t="s">
        <v>17</v>
      </c>
      <c r="J15" s="4">
        <v>25</v>
      </c>
      <c r="K15" s="4">
        <v>6</v>
      </c>
      <c r="L15" s="5">
        <v>20</v>
      </c>
      <c r="M15" s="77"/>
      <c r="N15" s="37" t="s">
        <v>36</v>
      </c>
      <c r="O15" s="23" t="e">
        <f>VLOOKUP(N13,Monster[],4,FALSE)</f>
        <v>#N/A</v>
      </c>
      <c r="P15" s="77"/>
    </row>
    <row r="16" spans="1:16" x14ac:dyDescent="0.25">
      <c r="A16" s="27"/>
      <c r="B16" s="27"/>
      <c r="C16" s="27"/>
      <c r="D16" s="77"/>
      <c r="E16" s="2">
        <v>8</v>
      </c>
      <c r="F16" s="2">
        <v>14</v>
      </c>
      <c r="G16" s="2">
        <v>6</v>
      </c>
      <c r="H16" s="77"/>
      <c r="I16" s="7" t="s">
        <v>18</v>
      </c>
      <c r="J16" s="7">
        <v>35</v>
      </c>
      <c r="K16" s="7">
        <v>6</v>
      </c>
      <c r="L16" s="9">
        <v>35</v>
      </c>
      <c r="M16" s="77"/>
      <c r="N16" s="77"/>
      <c r="O16" s="77"/>
      <c r="P16" s="77"/>
    </row>
    <row r="17" spans="1:16" x14ac:dyDescent="0.25">
      <c r="A17" s="4"/>
      <c r="B17" s="4"/>
      <c r="C17" s="4"/>
      <c r="D17" s="77"/>
      <c r="E17" s="2">
        <v>9</v>
      </c>
      <c r="F17" s="2">
        <v>16</v>
      </c>
      <c r="G17" s="2">
        <v>6</v>
      </c>
      <c r="H17" s="77"/>
      <c r="I17" s="5" t="s">
        <v>19</v>
      </c>
      <c r="J17" s="5">
        <v>65</v>
      </c>
      <c r="K17" s="5">
        <v>8</v>
      </c>
      <c r="L17" s="5">
        <v>420</v>
      </c>
      <c r="M17" s="77"/>
      <c r="N17" s="77"/>
      <c r="O17" s="77"/>
      <c r="P17" s="77"/>
    </row>
    <row r="18" spans="1:16" x14ac:dyDescent="0.25">
      <c r="A18" s="27"/>
      <c r="B18" s="27"/>
      <c r="C18" s="27"/>
      <c r="D18" s="77"/>
      <c r="E18" s="2">
        <v>10</v>
      </c>
      <c r="F18" s="2">
        <v>18</v>
      </c>
      <c r="G18" s="2">
        <v>6</v>
      </c>
      <c r="H18" s="77"/>
      <c r="I18" s="9" t="s">
        <v>20</v>
      </c>
      <c r="J18" s="9">
        <v>80</v>
      </c>
      <c r="K18" s="9">
        <v>12</v>
      </c>
      <c r="L18" s="9">
        <v>100</v>
      </c>
      <c r="M18" s="77"/>
      <c r="N18" s="77"/>
      <c r="O18" s="77"/>
      <c r="P18" s="77"/>
    </row>
    <row r="19" spans="1:16" x14ac:dyDescent="0.25">
      <c r="A19" s="4"/>
      <c r="B19" s="4"/>
      <c r="C19" s="4"/>
      <c r="D19" s="77"/>
      <c r="E19" s="2">
        <v>11</v>
      </c>
      <c r="F19" s="2">
        <v>21</v>
      </c>
      <c r="G19" s="2">
        <v>8</v>
      </c>
      <c r="H19" s="77"/>
      <c r="I19" s="5" t="s">
        <v>21</v>
      </c>
      <c r="J19" s="5">
        <v>50</v>
      </c>
      <c r="K19" s="5">
        <v>20</v>
      </c>
      <c r="L19" s="5">
        <v>150</v>
      </c>
      <c r="M19" s="77"/>
      <c r="N19" s="77"/>
      <c r="O19" s="77"/>
      <c r="P19" s="77"/>
    </row>
    <row r="20" spans="1:16" x14ac:dyDescent="0.25">
      <c r="A20" s="27"/>
      <c r="B20" s="27"/>
      <c r="C20" s="27"/>
      <c r="D20" s="77"/>
      <c r="E20" s="2">
        <v>12</v>
      </c>
      <c r="F20" s="2">
        <v>24</v>
      </c>
      <c r="G20" s="2">
        <v>8</v>
      </c>
      <c r="H20" s="77"/>
      <c r="I20" s="9" t="s">
        <v>22</v>
      </c>
      <c r="J20" s="9">
        <v>120</v>
      </c>
      <c r="K20" s="9">
        <v>20</v>
      </c>
      <c r="L20" s="9">
        <v>300</v>
      </c>
      <c r="M20" s="77"/>
      <c r="N20" s="77"/>
      <c r="O20" s="77"/>
      <c r="P20" s="77"/>
    </row>
    <row r="21" spans="1:16" x14ac:dyDescent="0.25">
      <c r="A21" s="4"/>
      <c r="B21" s="4"/>
      <c r="C21" s="4"/>
      <c r="D21" s="77"/>
      <c r="E21" s="2">
        <v>13</v>
      </c>
      <c r="F21" s="2">
        <v>27</v>
      </c>
      <c r="G21" s="2">
        <v>8</v>
      </c>
      <c r="H21" s="77"/>
      <c r="I21" s="10" t="s">
        <v>10</v>
      </c>
      <c r="J21" s="10">
        <v>250</v>
      </c>
      <c r="K21" s="10">
        <v>20</v>
      </c>
      <c r="L21" s="11">
        <v>500</v>
      </c>
      <c r="M21" s="77"/>
      <c r="N21" s="77"/>
      <c r="O21" s="77"/>
      <c r="P21" s="77"/>
    </row>
    <row r="22" spans="1:16" x14ac:dyDescent="0.25">
      <c r="A22" s="27"/>
      <c r="B22" s="27"/>
      <c r="C22" s="27"/>
      <c r="D22" s="77"/>
      <c r="E22" s="2">
        <v>14</v>
      </c>
      <c r="F22" s="2">
        <v>30</v>
      </c>
      <c r="G22" s="2">
        <v>8</v>
      </c>
      <c r="H22" s="77"/>
      <c r="I22" s="26" t="s">
        <v>60</v>
      </c>
      <c r="J22" s="26">
        <f>N7</f>
        <v>34</v>
      </c>
      <c r="K22" s="26">
        <f>O7</f>
        <v>6</v>
      </c>
      <c r="L22" s="26">
        <f>EXP</f>
        <v>0</v>
      </c>
      <c r="M22" s="77"/>
      <c r="N22" s="77"/>
      <c r="O22" s="77"/>
      <c r="P22" s="77"/>
    </row>
    <row r="23" spans="1:16" x14ac:dyDescent="0.25">
      <c r="A23" s="4"/>
      <c r="B23" s="4"/>
      <c r="C23" s="4"/>
      <c r="D23" s="77"/>
      <c r="E23" s="2">
        <v>15</v>
      </c>
      <c r="F23" s="2">
        <v>33</v>
      </c>
      <c r="G23" s="2">
        <v>8</v>
      </c>
      <c r="H23" s="77"/>
      <c r="I23" s="77"/>
      <c r="J23" s="77"/>
      <c r="K23" s="77"/>
      <c r="L23" s="77"/>
      <c r="M23" s="77"/>
      <c r="N23" s="77"/>
      <c r="O23" s="77"/>
      <c r="P23" s="77"/>
    </row>
    <row r="24" spans="1:16" x14ac:dyDescent="0.25">
      <c r="A24" s="27"/>
      <c r="B24" s="27"/>
      <c r="C24" s="27"/>
      <c r="D24" s="77"/>
      <c r="E24" s="2">
        <v>16</v>
      </c>
      <c r="F24" s="2">
        <v>36</v>
      </c>
      <c r="G24" s="2">
        <v>12</v>
      </c>
      <c r="H24" s="77"/>
      <c r="I24" s="29" t="s">
        <v>58</v>
      </c>
      <c r="J24" s="29" t="s">
        <v>59</v>
      </c>
      <c r="K24" s="80"/>
      <c r="L24" s="77"/>
      <c r="M24" s="77"/>
      <c r="N24" s="77"/>
      <c r="O24" s="77"/>
      <c r="P24" s="77"/>
    </row>
    <row r="25" spans="1:16" x14ac:dyDescent="0.25">
      <c r="A25" s="4"/>
      <c r="B25" s="4"/>
      <c r="C25" s="4"/>
      <c r="D25" s="77"/>
      <c r="E25" s="2">
        <v>17</v>
      </c>
      <c r="F25" s="2">
        <v>39</v>
      </c>
      <c r="G25" s="2">
        <v>12</v>
      </c>
      <c r="H25" s="77"/>
      <c r="I25" s="30">
        <v>100</v>
      </c>
      <c r="J25" s="31" t="str">
        <f ca="1">IF(N13="","",RANDBETWEEN(1,100))</f>
        <v/>
      </c>
      <c r="K25" s="77"/>
      <c r="L25" s="77"/>
      <c r="M25" s="77"/>
      <c r="N25" s="77"/>
      <c r="O25" s="77"/>
      <c r="P25" s="77"/>
    </row>
    <row r="26" spans="1:16" x14ac:dyDescent="0.25">
      <c r="A26" s="27"/>
      <c r="B26" s="27"/>
      <c r="C26" s="27"/>
      <c r="D26" s="77"/>
      <c r="E26" s="2">
        <v>18</v>
      </c>
      <c r="F26" s="2">
        <v>42</v>
      </c>
      <c r="G26" s="2">
        <v>12</v>
      </c>
      <c r="H26" s="77"/>
      <c r="I26" s="32">
        <v>20</v>
      </c>
      <c r="J26" s="21" t="str">
        <f ca="1">IF(N13="","",RANDBETWEEN(1,20))</f>
        <v/>
      </c>
      <c r="K26" s="77"/>
      <c r="L26" s="77"/>
      <c r="M26" s="77"/>
      <c r="N26" s="77"/>
      <c r="O26" s="77"/>
      <c r="P26" s="77"/>
    </row>
    <row r="27" spans="1:16" x14ac:dyDescent="0.25">
      <c r="A27" s="4"/>
      <c r="B27" s="4"/>
      <c r="C27" s="4"/>
      <c r="D27" s="77"/>
      <c r="E27" s="2">
        <v>19</v>
      </c>
      <c r="F27" s="2">
        <v>45</v>
      </c>
      <c r="G27" s="2">
        <v>12</v>
      </c>
      <c r="H27" s="77"/>
      <c r="I27" s="30">
        <v>12</v>
      </c>
      <c r="J27" s="31" t="str">
        <f ca="1">IF(N13="","",RANDBETWEEN(1,12))</f>
        <v/>
      </c>
      <c r="K27" s="77"/>
      <c r="L27" s="77"/>
      <c r="M27" s="77"/>
      <c r="N27" s="77"/>
      <c r="O27" s="77"/>
      <c r="P27" s="77"/>
    </row>
    <row r="28" spans="1:16" x14ac:dyDescent="0.25">
      <c r="A28" s="27"/>
      <c r="B28" s="27"/>
      <c r="C28" s="27"/>
      <c r="D28" s="77"/>
      <c r="E28" s="2">
        <v>20</v>
      </c>
      <c r="F28" s="2">
        <v>48</v>
      </c>
      <c r="G28" s="2">
        <v>12</v>
      </c>
      <c r="H28" s="77"/>
      <c r="I28" s="32">
        <v>10</v>
      </c>
      <c r="J28" s="21" t="str">
        <f ca="1">IF(N13="","",RANDBETWEEN(1,10))</f>
        <v/>
      </c>
      <c r="K28" s="77"/>
      <c r="L28" s="77"/>
      <c r="M28" s="77"/>
      <c r="N28" s="77"/>
      <c r="O28" s="77"/>
      <c r="P28" s="77"/>
    </row>
    <row r="29" spans="1:16" x14ac:dyDescent="0.25">
      <c r="A29" s="4"/>
      <c r="B29" s="4"/>
      <c r="C29" s="4"/>
      <c r="D29" s="77"/>
      <c r="E29" s="2">
        <v>21</v>
      </c>
      <c r="F29" s="2">
        <v>52</v>
      </c>
      <c r="G29" s="2">
        <v>20</v>
      </c>
      <c r="H29" s="77"/>
      <c r="I29" s="30">
        <v>8</v>
      </c>
      <c r="J29" s="31" t="str">
        <f ca="1">IF(N13="","",RANDBETWEEN(1,8))</f>
        <v/>
      </c>
      <c r="K29" s="77"/>
      <c r="L29" s="77"/>
      <c r="M29" s="77"/>
      <c r="N29" s="77"/>
      <c r="O29" s="77"/>
      <c r="P29" s="77"/>
    </row>
    <row r="30" spans="1:16" x14ac:dyDescent="0.25">
      <c r="A30" s="27"/>
      <c r="B30" s="27"/>
      <c r="C30" s="27"/>
      <c r="D30" s="77"/>
      <c r="E30" s="2">
        <v>22</v>
      </c>
      <c r="F30" s="2">
        <v>56</v>
      </c>
      <c r="G30" s="2">
        <v>20</v>
      </c>
      <c r="H30" s="77"/>
      <c r="I30" s="32">
        <v>6</v>
      </c>
      <c r="J30" s="21" t="str">
        <f ca="1">IF(N13="","",RANDBETWEEN(1,6))</f>
        <v/>
      </c>
      <c r="K30" s="77"/>
      <c r="L30" s="77"/>
      <c r="M30" s="78"/>
      <c r="N30" s="78"/>
      <c r="O30" s="77"/>
      <c r="P30" s="77"/>
    </row>
    <row r="31" spans="1:16" x14ac:dyDescent="0.25">
      <c r="A31" s="4"/>
      <c r="B31" s="4"/>
      <c r="C31" s="4"/>
      <c r="D31" s="77"/>
      <c r="E31" s="2">
        <v>23</v>
      </c>
      <c r="F31" s="2">
        <v>60</v>
      </c>
      <c r="G31" s="2">
        <v>20</v>
      </c>
      <c r="H31" s="77"/>
      <c r="I31" s="30">
        <v>4</v>
      </c>
      <c r="J31" s="31" t="str">
        <f ca="1">IF(N13="","",RANDBETWEEN(1,4))</f>
        <v/>
      </c>
      <c r="K31" s="20" t="s">
        <v>2</v>
      </c>
      <c r="L31" s="79"/>
      <c r="M31" s="79"/>
      <c r="N31" s="79"/>
      <c r="O31" s="77"/>
      <c r="P31" s="77"/>
    </row>
    <row r="32" spans="1:16" x14ac:dyDescent="0.25">
      <c r="A32" s="27"/>
      <c r="B32" s="27"/>
      <c r="C32" s="27"/>
      <c r="D32" s="77"/>
      <c r="E32" s="2">
        <v>24</v>
      </c>
      <c r="F32" s="2">
        <v>64</v>
      </c>
      <c r="G32" s="2">
        <v>20</v>
      </c>
      <c r="H32" s="77"/>
      <c r="I32" s="33" t="s">
        <v>1</v>
      </c>
      <c r="J32" s="22" t="str">
        <f ca="1">IF(N13="","",RANDBETWEEN(1,K32))</f>
        <v/>
      </c>
      <c r="K32" s="25">
        <v>50</v>
      </c>
      <c r="L32" s="78"/>
      <c r="M32" s="77"/>
      <c r="N32" s="77"/>
      <c r="O32" s="77"/>
      <c r="P32" s="77"/>
    </row>
    <row r="33" spans="1:16" x14ac:dyDescent="0.25">
      <c r="A33" s="4"/>
      <c r="B33" s="4"/>
      <c r="C33" s="4"/>
      <c r="D33" s="77"/>
      <c r="E33" s="2">
        <v>25</v>
      </c>
      <c r="F33" s="2">
        <v>68</v>
      </c>
      <c r="G33" s="2">
        <v>20</v>
      </c>
      <c r="H33" s="77"/>
      <c r="I33" s="77"/>
      <c r="J33" s="77"/>
      <c r="K33" s="77"/>
      <c r="L33" s="77"/>
      <c r="M33" s="77"/>
      <c r="N33" s="77"/>
      <c r="O33" s="77"/>
      <c r="P33" s="77"/>
    </row>
    <row r="34" spans="1:16" x14ac:dyDescent="0.25">
      <c r="A34" s="27"/>
      <c r="B34" s="27"/>
      <c r="C34" s="27"/>
      <c r="D34" s="77"/>
      <c r="E34" s="77"/>
      <c r="F34" s="77"/>
      <c r="G34" s="77"/>
      <c r="H34" s="77"/>
      <c r="I34" s="77"/>
      <c r="J34" s="77"/>
      <c r="K34" s="77"/>
      <c r="L34" s="77"/>
      <c r="M34" s="77"/>
      <c r="N34" s="77"/>
      <c r="O34" s="77"/>
      <c r="P34" s="77"/>
    </row>
    <row r="35" spans="1:16" x14ac:dyDescent="0.25">
      <c r="A35" s="4"/>
      <c r="B35" s="4"/>
      <c r="C35" s="4"/>
      <c r="D35" s="77"/>
      <c r="E35" s="77"/>
      <c r="F35" s="77"/>
      <c r="G35" s="77"/>
      <c r="H35" s="77"/>
      <c r="I35" s="77"/>
      <c r="J35" s="77"/>
      <c r="K35" s="77"/>
      <c r="L35" s="77"/>
      <c r="M35" s="77"/>
      <c r="N35" s="77"/>
      <c r="O35" s="77"/>
      <c r="P35" s="77"/>
    </row>
    <row r="36" spans="1:16" x14ac:dyDescent="0.25">
      <c r="A36" s="27"/>
      <c r="B36" s="27"/>
      <c r="C36" s="27"/>
      <c r="E36" s="77"/>
      <c r="F36" s="77"/>
      <c r="G36" s="77"/>
      <c r="H36" s="77"/>
      <c r="I36" s="77"/>
      <c r="J36" s="77"/>
      <c r="K36" s="77"/>
      <c r="L36" s="77"/>
      <c r="M36" s="77"/>
      <c r="N36" s="77"/>
      <c r="O36" s="77"/>
      <c r="P36" s="77"/>
    </row>
    <row r="37" spans="1:16" x14ac:dyDescent="0.25">
      <c r="A37" s="4"/>
      <c r="B37" s="4"/>
      <c r="C37" s="4"/>
    </row>
    <row r="38" spans="1:16" x14ac:dyDescent="0.25">
      <c r="A38" s="27"/>
      <c r="B38" s="27"/>
      <c r="C38" s="27"/>
    </row>
    <row r="39" spans="1:16" x14ac:dyDescent="0.25">
      <c r="A39" s="4"/>
      <c r="B39" s="4"/>
      <c r="C39" s="4"/>
    </row>
    <row r="40" spans="1:16" x14ac:dyDescent="0.25">
      <c r="A40" s="27"/>
      <c r="B40" s="27"/>
      <c r="C40" s="27"/>
    </row>
    <row r="41" spans="1:16" x14ac:dyDescent="0.25">
      <c r="A41" s="4"/>
      <c r="B41" s="4"/>
      <c r="C41" s="4"/>
    </row>
    <row r="42" spans="1:16" x14ac:dyDescent="0.25">
      <c r="A42" s="27"/>
      <c r="B42" s="27"/>
      <c r="C42" s="27"/>
    </row>
    <row r="43" spans="1:16" x14ac:dyDescent="0.25">
      <c r="A43" s="4"/>
      <c r="B43" s="4"/>
      <c r="C43" s="4"/>
    </row>
    <row r="44" spans="1:16" x14ac:dyDescent="0.25">
      <c r="A44" s="27"/>
      <c r="B44" s="27"/>
      <c r="C44" s="27"/>
    </row>
    <row r="45" spans="1:16" x14ac:dyDescent="0.25">
      <c r="A45" s="4"/>
      <c r="B45" s="4"/>
      <c r="C45" s="4"/>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heetPr>
  <dimension ref="B1:K12"/>
  <sheetViews>
    <sheetView showGridLines="0" workbookViewId="0">
      <selection activeCell="K28" sqref="K28:O29"/>
    </sheetView>
  </sheetViews>
  <sheetFormatPr defaultRowHeight="15" outlineLevelRow="1" outlineLevelCol="1" x14ac:dyDescent="0.25"/>
  <cols>
    <col min="3" max="3" width="24.42578125" bestFit="1" customWidth="1"/>
    <col min="4" max="11" width="14.85546875" bestFit="1" customWidth="1" outlineLevel="1"/>
  </cols>
  <sheetData>
    <row r="1" spans="2:11" ht="15.75" thickBot="1" x14ac:dyDescent="0.3"/>
    <row r="2" spans="2:11" ht="15.75" x14ac:dyDescent="0.25">
      <c r="B2" s="67" t="s">
        <v>75</v>
      </c>
      <c r="C2" s="67"/>
      <c r="D2" s="68"/>
      <c r="E2" s="68"/>
      <c r="F2" s="68"/>
      <c r="G2" s="68"/>
      <c r="H2" s="68"/>
      <c r="I2" s="68"/>
      <c r="J2" s="68"/>
      <c r="K2" s="68"/>
    </row>
    <row r="3" spans="2:11" ht="15.75" collapsed="1" x14ac:dyDescent="0.25">
      <c r="B3" s="69"/>
      <c r="C3" s="69"/>
      <c r="D3" s="70" t="s">
        <v>77</v>
      </c>
      <c r="E3" s="70" t="s">
        <v>82</v>
      </c>
      <c r="F3" s="70" t="s">
        <v>83</v>
      </c>
      <c r="G3" s="70" t="s">
        <v>84</v>
      </c>
      <c r="H3" s="70" t="s">
        <v>85</v>
      </c>
      <c r="I3" s="70" t="s">
        <v>86</v>
      </c>
      <c r="J3" s="70" t="s">
        <v>87</v>
      </c>
      <c r="K3" s="70" t="s">
        <v>88</v>
      </c>
    </row>
    <row r="4" spans="2:11" ht="33.75" hidden="1" outlineLevel="1" x14ac:dyDescent="0.25">
      <c r="B4" s="59"/>
      <c r="C4" s="59"/>
      <c r="D4" s="56"/>
      <c r="E4" s="63" t="s">
        <v>74</v>
      </c>
      <c r="F4" s="63" t="s">
        <v>74</v>
      </c>
      <c r="G4" s="63" t="s">
        <v>74</v>
      </c>
      <c r="H4" s="63" t="s">
        <v>74</v>
      </c>
      <c r="I4" s="63" t="s">
        <v>74</v>
      </c>
      <c r="J4" s="63" t="s">
        <v>74</v>
      </c>
      <c r="K4" s="63" t="s">
        <v>74</v>
      </c>
    </row>
    <row r="5" spans="2:11" x14ac:dyDescent="0.25">
      <c r="B5" s="60" t="s">
        <v>76</v>
      </c>
      <c r="C5" s="60"/>
      <c r="D5" s="58"/>
      <c r="E5" s="58"/>
      <c r="F5" s="58"/>
      <c r="G5" s="58"/>
      <c r="H5" s="58"/>
      <c r="I5" s="58"/>
      <c r="J5" s="58"/>
      <c r="K5" s="58"/>
    </row>
    <row r="6" spans="2:11" outlineLevel="1" x14ac:dyDescent="0.25">
      <c r="B6" s="59"/>
      <c r="C6" s="59" t="s">
        <v>90</v>
      </c>
      <c r="D6" s="56" t="s">
        <v>96</v>
      </c>
      <c r="E6" s="62">
        <v>5</v>
      </c>
      <c r="F6" s="62">
        <v>25</v>
      </c>
      <c r="G6" s="62">
        <v>35</v>
      </c>
      <c r="H6" s="62">
        <v>80</v>
      </c>
      <c r="I6" s="62">
        <v>50</v>
      </c>
      <c r="J6" s="62">
        <v>120</v>
      </c>
      <c r="K6" s="62">
        <v>250</v>
      </c>
    </row>
    <row r="7" spans="2:11" outlineLevel="1" x14ac:dyDescent="0.25">
      <c r="B7" s="59"/>
      <c r="C7" s="59" t="s">
        <v>89</v>
      </c>
      <c r="D7" s="56">
        <v>0</v>
      </c>
      <c r="E7" s="62">
        <v>33</v>
      </c>
      <c r="F7" s="62">
        <v>33</v>
      </c>
      <c r="G7" s="62">
        <v>33</v>
      </c>
      <c r="H7" s="62">
        <v>33</v>
      </c>
      <c r="I7" s="62">
        <v>33</v>
      </c>
      <c r="J7" s="62">
        <v>33</v>
      </c>
      <c r="K7" s="62">
        <v>33</v>
      </c>
    </row>
    <row r="8" spans="2:11" x14ac:dyDescent="0.25">
      <c r="B8" s="60" t="s">
        <v>78</v>
      </c>
      <c r="C8" s="60"/>
      <c r="D8" s="58"/>
      <c r="E8" s="58"/>
      <c r="F8" s="58"/>
      <c r="G8" s="58"/>
      <c r="H8" s="58"/>
      <c r="I8" s="58"/>
      <c r="J8" s="58"/>
      <c r="K8" s="58"/>
    </row>
    <row r="9" spans="2:11" ht="15.75" outlineLevel="1" thickBot="1" x14ac:dyDescent="0.3">
      <c r="B9" s="61"/>
      <c r="C9" s="61" t="s">
        <v>91</v>
      </c>
      <c r="D9" s="57">
        <v>0</v>
      </c>
      <c r="E9" s="57">
        <v>5</v>
      </c>
      <c r="F9" s="57">
        <v>25</v>
      </c>
      <c r="G9" s="57">
        <v>35</v>
      </c>
      <c r="H9" s="57">
        <v>80</v>
      </c>
      <c r="I9" s="57">
        <v>50</v>
      </c>
      <c r="J9" s="57">
        <v>120</v>
      </c>
      <c r="K9" s="57">
        <v>250</v>
      </c>
    </row>
    <row r="10" spans="2:11" x14ac:dyDescent="0.25">
      <c r="B10" t="s">
        <v>79</v>
      </c>
    </row>
    <row r="11" spans="2:11" x14ac:dyDescent="0.25">
      <c r="B11" t="s">
        <v>80</v>
      </c>
    </row>
    <row r="12" spans="2:11" x14ac:dyDescent="0.25">
      <c r="B12" t="s">
        <v>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Documentation</vt:lpstr>
      <vt:lpstr>Goblin</vt:lpstr>
      <vt:lpstr>Orc</vt:lpstr>
      <vt:lpstr>Ogre</vt:lpstr>
      <vt:lpstr>Kraken</vt:lpstr>
      <vt:lpstr>Warlock</vt:lpstr>
      <vt:lpstr>Mindflayer</vt:lpstr>
      <vt:lpstr>Dragon</vt:lpstr>
      <vt:lpstr>Donkeh</vt:lpstr>
      <vt:lpstr>Nothing</vt:lpstr>
      <vt:lpstr>Gameplay</vt:lpstr>
      <vt:lpstr>Secret Information</vt:lpstr>
      <vt:lpstr>Battle System</vt:lpstr>
      <vt:lpstr>Win Scenarios</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Mitchell Athey</dc:creator>
  <cp:lastModifiedBy>Chronos</cp:lastModifiedBy>
  <cp:lastPrinted>2015-12-11T03:00:06Z</cp:lastPrinted>
  <dcterms:created xsi:type="dcterms:W3CDTF">2012-07-09T02:39:38Z</dcterms:created>
  <dcterms:modified xsi:type="dcterms:W3CDTF">2018-10-25T01:14:57Z</dcterms:modified>
</cp:coreProperties>
</file>